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howObjects="none"/>
  <mc:AlternateContent xmlns:mc="http://schemas.openxmlformats.org/markup-compatibility/2006">
    <mc:Choice Requires="x15">
      <x15ac:absPath xmlns:x15ac="http://schemas.microsoft.com/office/spreadsheetml/2010/11/ac" url="https://stumpeag-my.sharepoint.com/personal/martin_stumpeag_onmicrosoft_com/Documents/MS QF GmbH/2026/Dienstleistungsprozesse/Software/Support logs/"/>
    </mc:Choice>
  </mc:AlternateContent>
  <xr:revisionPtr revIDLastSave="26" documentId="8_{34B31978-6474-4541-BB29-A9E36DD9FA20}" xr6:coauthVersionLast="47" xr6:coauthVersionMax="47" xr10:uidLastSave="{A5445B8E-A1EA-4088-8FFB-C05DAD2DDA60}"/>
  <bookViews>
    <workbookView xWindow="-120" yWindow="-120" windowWidth="29040" windowHeight="15720" xr2:uid="{00000000-000D-0000-FFFF-FFFF00000000}"/>
  </bookViews>
  <sheets>
    <sheet name="Support Task 2025-2026" sheetId="1" r:id="rId1"/>
    <sheet name="Summary" sheetId="2" r:id="rId2"/>
  </sheets>
  <definedNames>
    <definedName name="_xlnm._FilterDatabase" localSheetId="0" hidden="1">'Support Task 2025-2026'!$A$2:$P$2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D22" i="2"/>
  <c r="D19" i="2"/>
  <c r="D20" i="2"/>
  <c r="D18" i="2"/>
  <c r="D17" i="2"/>
  <c r="D16" i="2"/>
  <c r="D14" i="2"/>
  <c r="D15" i="2"/>
  <c r="D13" i="2"/>
  <c r="D12" i="2" l="1"/>
  <c r="D11" i="2" l="1"/>
  <c r="D10" i="2"/>
  <c r="D8" i="2" l="1"/>
  <c r="D9" i="2"/>
  <c r="D7" i="2"/>
  <c r="D6" i="2" l="1"/>
  <c r="D5" i="2"/>
  <c r="D4" i="2"/>
  <c r="E22" i="2"/>
  <c r="E21" i="2"/>
  <c r="E20" i="2"/>
  <c r="E4" i="2"/>
  <c r="E5" i="2"/>
  <c r="E6" i="2"/>
  <c r="E7" i="2"/>
  <c r="E8" i="2"/>
  <c r="E9" i="2"/>
  <c r="E10" i="2"/>
  <c r="E11" i="2"/>
  <c r="E12" i="2"/>
  <c r="E13" i="2"/>
  <c r="E14" i="2"/>
  <c r="E15" i="2"/>
  <c r="E16" i="2"/>
  <c r="E17" i="2"/>
  <c r="E18" i="2"/>
  <c r="E19" i="2"/>
</calcChain>
</file>

<file path=xl/sharedStrings.xml><?xml version="1.0" encoding="utf-8"?>
<sst xmlns="http://schemas.openxmlformats.org/spreadsheetml/2006/main" count="1382" uniqueCount="467">
  <si>
    <t>Support Tasks</t>
  </si>
  <si>
    <t>S.No.</t>
  </si>
  <si>
    <t>Request No</t>
  </si>
  <si>
    <t xml:space="preserve">Month </t>
  </si>
  <si>
    <t>Requested Date</t>
  </si>
  <si>
    <t>Customer Site</t>
  </si>
  <si>
    <t>Requested By</t>
  </si>
  <si>
    <t xml:space="preserve">Criticality </t>
  </si>
  <si>
    <t>Type</t>
  </si>
  <si>
    <t>Task</t>
  </si>
  <si>
    <t>Root Cause</t>
  </si>
  <si>
    <t>Solution</t>
  </si>
  <si>
    <t>Test Results</t>
  </si>
  <si>
    <t>Solved By</t>
  </si>
  <si>
    <t>Completion Date</t>
  </si>
  <si>
    <t>Status</t>
  </si>
  <si>
    <t>Efforts(Hours)</t>
  </si>
  <si>
    <t>APR001</t>
  </si>
  <si>
    <t>APRIL</t>
  </si>
  <si>
    <t>SIMS</t>
  </si>
  <si>
    <t xml:space="preserve">Medium </t>
  </si>
  <si>
    <t>Support</t>
  </si>
  <si>
    <t>Closed</t>
  </si>
  <si>
    <t>APR002</t>
  </si>
  <si>
    <t>Carsig</t>
  </si>
  <si>
    <t>Martin</t>
  </si>
  <si>
    <t>APR003</t>
  </si>
  <si>
    <t>WHW</t>
  </si>
  <si>
    <t>APR004</t>
  </si>
  <si>
    <t>APR005</t>
  </si>
  <si>
    <t>APR006</t>
  </si>
  <si>
    <t>APR007</t>
  </si>
  <si>
    <t>Raban</t>
  </si>
  <si>
    <t>Development</t>
  </si>
  <si>
    <t>APR008</t>
  </si>
  <si>
    <t>APR009</t>
  </si>
  <si>
    <t>Michal</t>
  </si>
  <si>
    <t>BUK</t>
  </si>
  <si>
    <t>MAY001</t>
  </si>
  <si>
    <t>MAY</t>
  </si>
  <si>
    <t>MAY002</t>
  </si>
  <si>
    <t>MAY003</t>
  </si>
  <si>
    <t>MAY004</t>
  </si>
  <si>
    <t>MAY005</t>
  </si>
  <si>
    <t>JUNE001</t>
  </si>
  <si>
    <t>JUNE002</t>
  </si>
  <si>
    <t>BBS Motors</t>
  </si>
  <si>
    <t>Mager</t>
  </si>
  <si>
    <t>Alber</t>
  </si>
  <si>
    <t>JULY001</t>
  </si>
  <si>
    <t>JULY</t>
  </si>
  <si>
    <t>Fohel</t>
  </si>
  <si>
    <t>User tested and confirmed through mail.</t>
  </si>
  <si>
    <t>JULY002</t>
  </si>
  <si>
    <t>JULY003</t>
  </si>
  <si>
    <t>JULY004</t>
  </si>
  <si>
    <t>JULY005</t>
  </si>
  <si>
    <t>AUG001</t>
  </si>
  <si>
    <t>AUG</t>
  </si>
  <si>
    <t>AUG002</t>
  </si>
  <si>
    <t>AUG003</t>
  </si>
  <si>
    <t>AUG004</t>
  </si>
  <si>
    <t>AUG005</t>
  </si>
  <si>
    <t>AUG006</t>
  </si>
  <si>
    <t>AUG007</t>
  </si>
  <si>
    <t>SEP001</t>
  </si>
  <si>
    <t>SEP</t>
  </si>
  <si>
    <t>SEP002</t>
  </si>
  <si>
    <t>SEP003</t>
  </si>
  <si>
    <t>OCT001</t>
  </si>
  <si>
    <t>OCT</t>
  </si>
  <si>
    <t>Christoph</t>
  </si>
  <si>
    <t>OCT002</t>
  </si>
  <si>
    <t>OCT003</t>
  </si>
  <si>
    <t>OCT005</t>
  </si>
  <si>
    <t>NOV</t>
  </si>
  <si>
    <t>DEC001</t>
  </si>
  <si>
    <t>DEC</t>
  </si>
  <si>
    <t>DEC002</t>
  </si>
  <si>
    <t>JAN001</t>
  </si>
  <si>
    <t>JAN</t>
  </si>
  <si>
    <t>We have unfreeze the document from backend.</t>
  </si>
  <si>
    <t>Aman</t>
  </si>
  <si>
    <t>JAN002</t>
  </si>
  <si>
    <t>Astrid Lange</t>
  </si>
  <si>
    <t>JAN003</t>
  </si>
  <si>
    <t>JAN004</t>
  </si>
  <si>
    <t>JAN005</t>
  </si>
  <si>
    <t>JAN006</t>
  </si>
  <si>
    <t>JAN007</t>
  </si>
  <si>
    <t>JAN008</t>
  </si>
  <si>
    <t>Rolf</t>
  </si>
  <si>
    <t>FEB001</t>
  </si>
  <si>
    <t>FEB</t>
  </si>
  <si>
    <t>FEB002</t>
  </si>
  <si>
    <t>FEB003</t>
  </si>
  <si>
    <t>FEB004</t>
  </si>
  <si>
    <t>FEB005</t>
  </si>
  <si>
    <t>FEB006</t>
  </si>
  <si>
    <t>MSLDS Is not working</t>
  </si>
  <si>
    <t>FEB007</t>
  </si>
  <si>
    <t>MAR001</t>
  </si>
  <si>
    <t>MAR</t>
  </si>
  <si>
    <t>MAR002</t>
  </si>
  <si>
    <t>MAR003</t>
  </si>
  <si>
    <t>MAR004</t>
  </si>
  <si>
    <t>Tino</t>
  </si>
  <si>
    <t>MAR005</t>
  </si>
  <si>
    <t>MAR006</t>
  </si>
  <si>
    <t>MAR007</t>
  </si>
  <si>
    <t>Foehl</t>
  </si>
  <si>
    <t>Sims</t>
  </si>
  <si>
    <t>Hearing</t>
  </si>
  <si>
    <t>Luigi Bruno</t>
  </si>
  <si>
    <t>AD group changing SIMS</t>
  </si>
  <si>
    <t>kaiser</t>
  </si>
  <si>
    <t>Mr. Rolf</t>
  </si>
  <si>
    <t>Frozen Document</t>
  </si>
  <si>
    <t xml:space="preserve">Kaiser </t>
  </si>
  <si>
    <t xml:space="preserve">Enrico Berger </t>
  </si>
  <si>
    <t>Website is not working</t>
  </si>
  <si>
    <t>We have change the email template as information provide 
by Astrid.</t>
  </si>
  <si>
    <t>Jan001</t>
  </si>
  <si>
    <t>Changes in mailing list</t>
  </si>
  <si>
    <t>Jan002</t>
  </si>
  <si>
    <t>MSQF</t>
  </si>
  <si>
    <t>presentation database for MSQF, it doesn’t work,
 because I can’t publish ID 505 and 1460. I also can’t 
change the ID for the process landscape, I got the 
message it was saved, but it doesn’t save them</t>
  </si>
  <si>
    <t>As we have discussed on server, Service is running with 
diffrenet  user account that's why , you are not able to run the service. Also we have publish the document and set on front page.</t>
  </si>
  <si>
    <t>Jan003</t>
  </si>
  <si>
    <t>Boris</t>
  </si>
  <si>
    <t>The document is faulty after the download</t>
  </si>
  <si>
    <t>As we have checked, the original document is currepted so
 we have suggest to create the new document.</t>
  </si>
  <si>
    <t>Feb001</t>
  </si>
  <si>
    <t>licence for MSLDS client</t>
  </si>
  <si>
    <t>As we have checked, Hardware id is changed , so we have
 create new licence file for MSLDS</t>
  </si>
  <si>
    <t>Feb002</t>
  </si>
  <si>
    <t>Kaiser</t>
  </si>
  <si>
    <t>Kaiser has a user "sifa" he can not connect to the 
MS-LDS Client.</t>
  </si>
  <si>
    <t>As, we have checked, user was not active in MSLDS</t>
  </si>
  <si>
    <t>Feb003</t>
  </si>
  <si>
    <t>Publishing of documents did not work</t>
  </si>
  <si>
    <t xml:space="preserve">As we have checked, some Microsoft instance has been hanged
 on server. So we have kill that. </t>
  </si>
  <si>
    <t>Feb004</t>
  </si>
  <si>
    <t>Frozen Document and Publishing issue.</t>
  </si>
  <si>
    <t>I have unfreeze the document ID#14701 and also user can publish other document as well.</t>
  </si>
  <si>
    <t>Feb005</t>
  </si>
  <si>
    <t>Feb006</t>
  </si>
  <si>
    <t>Super Alloy</t>
  </si>
  <si>
    <t>Pit Mattis</t>
  </si>
  <si>
    <t>View and Publish issue</t>
  </si>
  <si>
    <t>As we have discussed on server, Password is change of server user. So we have update the password introp and service.</t>
  </si>
  <si>
    <t>Feb007</t>
  </si>
  <si>
    <t>We have create new AD group as provided and also tell the process to transfer the documents.</t>
  </si>
  <si>
    <t>Feb008</t>
  </si>
  <si>
    <t>Path to old documents</t>
  </si>
  <si>
    <t xml:space="preserve">We have provide the old document path to the user.
These below paths are the MSLDS document path on server MS-QDS-SRV-01.
Old MSLDS V5 PATH  C:\MSQDS\_service1\MSLDS\document
New MSLDS V6 PATH  C:\MSQDS V6\_service1\MSLDS\document
</t>
  </si>
  <si>
    <t>Mar001</t>
  </si>
  <si>
    <t>Föhl licence file</t>
  </si>
  <si>
    <t>As we have checked, Hardware id was changed on server. So we
 have change licence file now MS-QDS is running now.</t>
  </si>
  <si>
    <t>Mar002</t>
  </si>
  <si>
    <t>I have unfreeze the document ID#31374.</t>
  </si>
  <si>
    <t>Mar003</t>
  </si>
  <si>
    <t>Publishing issue</t>
  </si>
  <si>
    <t xml:space="preserve">As we have checked, some Microsoft instance has been hanged on server. So we have kill that. </t>
  </si>
  <si>
    <t>Mar004</t>
  </si>
  <si>
    <t xml:space="preserve">Change the file extensions </t>
  </si>
  <si>
    <t>As we have discussed on mails, it is possible and also we have show you how to change the document extension and also provide Archive history for that as well.</t>
  </si>
  <si>
    <t>Mar005</t>
  </si>
  <si>
    <t>China</t>
  </si>
  <si>
    <t>Installation of MSQDS</t>
  </si>
  <si>
    <t>We have install the MSQDS applcation on china server.</t>
  </si>
  <si>
    <t>Mar006</t>
  </si>
  <si>
    <t>Delete user from MSQDS</t>
  </si>
  <si>
    <t>We have deleted the user from MSQDS</t>
  </si>
  <si>
    <t>Mar007</t>
  </si>
  <si>
    <t>I have unfreeze the document.</t>
  </si>
  <si>
    <t>Mar008</t>
  </si>
  <si>
    <t>Mar009</t>
  </si>
  <si>
    <t xml:space="preserve">We had the following topics from the meeting today to check and solve:
1. AD folder deleting 
a. SIMS_PERSO_GFASSI
b. SIMS_Qualitaetsmanagement
2. Seraching for double files and send a list of them, f.e. file 140
3. Investigate in the crashes last 2 week (6-10 times) and share the result
4. Tho show or download different files are not working f.e. 8015 and 8228
5. Sorting in the webview are not allway possible
6. Change the view of the windows square are not scalebale
</t>
  </si>
  <si>
    <t>We have completed the 1,2 and 3 point and also inform to
 the user. On other point we are working.</t>
  </si>
  <si>
    <t>Open</t>
  </si>
  <si>
    <t>AS Tino's IT team restart the Vm machine , so Licence file will currepted, so we have craeted new licence file and configure</t>
  </si>
  <si>
    <t>xingcheng</t>
  </si>
  <si>
    <t>Can’t delete an template and also the view in the web of the document dosen’t work correct.</t>
  </si>
  <si>
    <t>As we have checked, chinese langauge no render on HTML page for MSLDS website, we have fixed this issue by PHP , which use in website and other issue was template deletion, we have fixed that from backend.</t>
  </si>
  <si>
    <t xml:space="preserve">setup the following email at xingcheng in MSQDS </t>
  </si>
  <si>
    <t>We have set the SMTP server details on DBTool</t>
  </si>
  <si>
    <t xml:space="preserve">
After the introduction of MS LDS® at Xingcheng, we have following topics:
1. If we choose a document in the Chinese language, it will be not shown in the right letters (IMG_1348)
Please send me the language file, some translations are not done (IMG_1358+1359+1360)
2. If we choose the filter and klick on the documents it will be not shown (html, PDF and origin document, we got the message, file not found
3. If we log into the pc (windows login) in the intranet the name is not shown, allways “admin panel” or Administrator (the login information from the database
4. To select between language and language in the intranet is not every time working
5.It is possible login from two computers with the same login datas into the database, so the same user is login two times into the database(IMG_1354+1355)
6. Please send the file for ISO 9001 to implement in MS LDS®
7. Please also send the link to share the login icons, to share it from the machine isn’t working, because the path is: c: and we don’t find the programm exe on the server machine.
8. Why they have to login on the intranet for settings? (IMG_1353)
9. We do not found any doc with the type “PPT…), like to delete them and get the message see picture IMG_1349
 </t>
  </si>
  <si>
    <t>We have done all the task on Xingcheng server</t>
  </si>
  <si>
    <t>Not able to open Website</t>
  </si>
  <si>
    <t>As we have checked, user is not using correct URL</t>
  </si>
  <si>
    <t>MSLDS editor issue</t>
  </si>
  <si>
    <t>AS we have found, when user is change the expriy date for any document at that time edit user name is showing wrong, so we have debug the code and found that there is some bug in the code , we have fixed that and deploy the changes on WHW server.</t>
  </si>
  <si>
    <t>Raban/Christoph</t>
  </si>
  <si>
    <t>Want to change the document extention</t>
  </si>
  <si>
    <t>As user want to change the extesion of the document and also manage the archaive history, so we have done all the changes , whish is required to user.</t>
  </si>
  <si>
    <t>Günter Schwarze</t>
  </si>
  <si>
    <t>Excel problems at BuK</t>
  </si>
  <si>
    <t>As we have checked, excel instance was hanged on server.</t>
  </si>
  <si>
    <t>Change the IP-Address</t>
  </si>
  <si>
    <t>BUK team change the IP address by themselves, so we have to setup the licence file and also website is not running after change the IP , so we have also support them for setup the website again.</t>
  </si>
  <si>
    <t>MSLDS Status issue</t>
  </si>
  <si>
    <t>As I have checked in the logs, there is some interop related issue on server. So I have checked in DCOMCNFG and I am not able to find Microsoft instances like word, excel and ppt in that.</t>
  </si>
  <si>
    <t>As we have checked, microsoft instance has been stuck on server, we have kill that and MSLDS is running fine.</t>
  </si>
  <si>
    <t>MSLDS Frozen Doc</t>
  </si>
  <si>
    <t>MS LDS - Client License</t>
  </si>
  <si>
    <t>As we have checked, Hardware id is changed , so we have create new licence file for MSLDS</t>
  </si>
  <si>
    <t>MAY006</t>
  </si>
  <si>
    <t>delete following marked folders from AD group in DBTool and also from local folder:
1.)   SIMS_FK_PERSO_QM
2.)   SIMS_PERSO_QM</t>
  </si>
  <si>
    <t>We have delete the provided groups from AD group and also from local path.</t>
  </si>
  <si>
    <t>MAY007</t>
  </si>
  <si>
    <t>Berger</t>
  </si>
  <si>
    <t>Not able to login with windows Id</t>
  </si>
  <si>
    <t>AS we have found ,window server is change and LDAP is not mapped</t>
  </si>
  <si>
    <t>June</t>
  </si>
  <si>
    <t>alber</t>
  </si>
  <si>
    <t>SMTP not working</t>
  </si>
  <si>
    <t>They have change the SMTP server , so we have set new IP address on DBTool.</t>
  </si>
  <si>
    <t>Presentation Machine</t>
  </si>
  <si>
    <t>As we have checked,Website settings not correct , we have fixed that.</t>
  </si>
  <si>
    <t>JUL001</t>
  </si>
  <si>
    <t>Mr. Boris</t>
  </si>
  <si>
    <t>document cannot be published</t>
  </si>
  <si>
    <t>As we have checked, Introp password is changes. So we have set again and user is able to publish the document .</t>
  </si>
  <si>
    <t>JUL002</t>
  </si>
  <si>
    <t>PMR</t>
  </si>
  <si>
    <t>New Installation MS LDS on PMR site</t>
  </si>
  <si>
    <t>We have install the MSQDS applcation on PMR server.</t>
  </si>
  <si>
    <t>JUL003</t>
  </si>
  <si>
    <t xml:space="preserve">don’t need English language </t>
  </si>
  <si>
    <t>We have deactiavte the english language and change the licence file</t>
  </si>
  <si>
    <t>JUL004</t>
  </si>
  <si>
    <t>problems during installation
• we have create some templates- Excel template is #7, it cannot be open in view mode and cannot publish, please investigate why.
• We have create a process landscpae with #9, this should be start page in web. I cannot change it in MS QDS settings, also not on website
• I cannot do any changes in website settings, I try to connect als administrator/adminstrator</t>
  </si>
  <si>
    <t>We have fixed all the issues and inform the user.</t>
  </si>
  <si>
    <t>JUL005</t>
  </si>
  <si>
    <t>Fohl</t>
  </si>
  <si>
    <t xml:space="preserve">Föhl like to remove the ZN and EN language </t>
  </si>
  <si>
    <t>We have deactiavte the english language and change the licence file and delete the language CN and EN from the database including the documents in these language.</t>
  </si>
  <si>
    <t>JUL006</t>
  </si>
  <si>
    <t>Document with ID#18 they are not able to open</t>
  </si>
  <si>
    <t xml:space="preserve">As we have checked, there are Microsoft office instance hanged
 on task manager. </t>
  </si>
  <si>
    <t>JUL007</t>
  </si>
  <si>
    <t>B+K</t>
  </si>
  <si>
    <t>QM Team</t>
  </si>
  <si>
    <t>doc ID 1624 (Excel), it cannot published and 
opened in view mode</t>
  </si>
  <si>
    <t>JUL008</t>
  </si>
  <si>
    <t xml:space="preserve">user just notified that when he want to open document, he receives following error. Document is ID#161. </t>
  </si>
  <si>
    <t xml:space="preserve">As we have checked, there are Microsoft office instance hanged on task manager. </t>
  </si>
  <si>
    <t xml:space="preserve">MSLDS Fronzen Doc 31415 </t>
  </si>
  <si>
    <t>I have un freeze document from database</t>
  </si>
  <si>
    <t>MSLDS Unable to login.</t>
  </si>
  <si>
    <t xml:space="preserve">As we have checked, there is no issue in the system, may be user AD is not working that's why windows login is not working that time, I have created user without NT authentication. </t>
  </si>
  <si>
    <t>ID 39 (xls) cannot be published</t>
  </si>
  <si>
    <t>As I have checked there is some microsft instance has been stuck, so I have kill that and document can be publish.</t>
  </si>
  <si>
    <t>documents are available but we couldn’t open it !</t>
  </si>
  <si>
    <t>As we have checked, server user is able to open the document , so we have found there is some Networking issue that 's why user is not able to open documents sometimes.</t>
  </si>
  <si>
    <t>ID 2397 and ID 2363 the published status is missing</t>
  </si>
  <si>
    <t>aman</t>
  </si>
  <si>
    <t>The website cannot be accessed</t>
  </si>
  <si>
    <t>As we have checked, wamp server is not running so
 I have run that, then website is running</t>
  </si>
  <si>
    <t>Mr. Berger</t>
  </si>
  <si>
    <t>Every time I try to delete a document, the 
programme freezes</t>
  </si>
  <si>
    <t>As I have checked there is some microsft instance has been 
stuck, so I have kill that then program running fine.</t>
  </si>
  <si>
    <t>Change the data into Archive document.</t>
  </si>
  <si>
    <t>User have provided the excel sheet and also modified data , so we 
have change the excel file in archive folder.</t>
  </si>
  <si>
    <t>Licence file is not valid</t>
  </si>
  <si>
    <t>We have created new licence file and configure in the WHW system.</t>
  </si>
  <si>
    <t xml:space="preserve">Alber system getting cyber attack and all the server
are shut down. </t>
  </si>
  <si>
    <t>We have connected with user multiple times through teams meeting and reconfigure somethings on MSQDS server and also reconfigure the licence file.</t>
  </si>
  <si>
    <t xml:space="preserve">Märker </t>
  </si>
  <si>
    <t xml:space="preserve">Markus Anslinger </t>
  </si>
  <si>
    <t>Update Märker licences</t>
  </si>
  <si>
    <t>We have created new licence file with 10 new active licence and configure in the Marker system.</t>
  </si>
  <si>
    <t>Backup Files MSLDS</t>
  </si>
  <si>
    <t>Provide all the SQL details and server path configration for Backup</t>
  </si>
  <si>
    <t>SIMS DB (MS_LDS V6) ID8035 couldn't published</t>
  </si>
  <si>
    <t xml:space="preserve">as I have checked, for ID8035 we found this issue early as well, please find the below solution 
Document does not publish in MS LDS Client as file not found in ../../zTmp. (Reported on SIMS site.)
Solution: We have to check length of tags after replaced. In header/footer, total length of tags may exceed to 255.
</t>
  </si>
  <si>
    <t>OCT004</t>
  </si>
  <si>
    <t>Complaint =&gt;SIMS documents (for example SIMS ID 191) are available but we couldn’t open it !</t>
  </si>
  <si>
    <t>This problem take around 2 month to resolve , we did multiple meetings and take many sessions to resolve the issue. And we found that website browser is not able to take the Domain name.
we did some code and configure the domain settings in PHP apache server and after this problem is resolved.</t>
  </si>
  <si>
    <t>MSLDS frozen document</t>
  </si>
  <si>
    <t>NOV001</t>
  </si>
  <si>
    <t>fohel</t>
  </si>
  <si>
    <t>Server Move</t>
  </si>
  <si>
    <t>They are moving the old server to new server, so we have to install the application again on new server and setup all the things on new server. In this process we did multiple meetings and sessions for settingup the things.</t>
  </si>
  <si>
    <t>NOV002</t>
  </si>
  <si>
    <t>MSQDS DB tool is not running.</t>
  </si>
  <si>
    <t>As I have checked, I am able to open MS-QDS on server and it is possible only on server not on other machine direcly.</t>
  </si>
  <si>
    <t>NOV003</t>
  </si>
  <si>
    <t>Enrico Berger</t>
  </si>
  <si>
    <t>NOV004</t>
  </si>
  <si>
    <t>MSQDS service is not running</t>
  </si>
  <si>
    <t>They have reported that , service is stop again and again in one week but I have checked the log, I did not found any thing wrong from MSQDS application , so we have suggested that, please restarted the application server once, then problem is resolved.</t>
  </si>
  <si>
    <t>NOV005</t>
  </si>
  <si>
    <t>BW tech</t>
  </si>
  <si>
    <t>Installation MS LDS at new site BW tech</t>
  </si>
  <si>
    <t>We have  setup the MSQDS application and website on client server and after installation Martin facing some issues as well and we have fixed that.</t>
  </si>
  <si>
    <t>NOV006</t>
  </si>
  <si>
    <t>China site</t>
  </si>
  <si>
    <t>Felix</t>
  </si>
  <si>
    <t>NOV007</t>
  </si>
  <si>
    <t>BORIS GRABENHOFER</t>
  </si>
  <si>
    <t>Documents cannot be published</t>
  </si>
  <si>
    <t>As we have checked,Microsoft office instance has been hanged on server, so we have killed that .</t>
  </si>
  <si>
    <t>Meeting with Raban and SIMS for the environment  reported problem.</t>
  </si>
  <si>
    <t>We have discuss the issues on call , related to the document access.</t>
  </si>
  <si>
    <t>Tobias</t>
  </si>
  <si>
    <t>Meeting with Tobias for the environment  reported problem.</t>
  </si>
  <si>
    <t>MFV</t>
  </si>
  <si>
    <t>new customer MFV Maschinenbau GmbH</t>
  </si>
  <si>
    <t>1. We have setup the MSQDS Client and Website on new site.
2. And after installation , fixed issues with Martin.
3. Martin ask for licence change and login credentials set for users.</t>
  </si>
  <si>
    <t>closed</t>
  </si>
  <si>
    <t>Medium</t>
  </si>
  <si>
    <t>support</t>
  </si>
  <si>
    <t>unfortunally we can not open any Office Files anymore. 
The files are found on the page but can not be opened.</t>
  </si>
  <si>
    <t>As we have checked, there is some issue in website deployment.
So we have fixed that.</t>
  </si>
  <si>
    <t>a short question we got a new E-Mailserver here at Föhl.  
Where can I configure the Mailsettings in the software?
As I can see MSLDS still contacts the old Mailserver.</t>
  </si>
  <si>
    <t>We provide the all required information to user and user is able to configure the new mailing server.</t>
  </si>
  <si>
    <t>we have a problem. Our users cant upload pdf document</t>
  </si>
  <si>
    <t>I have checked but I did not get the exact issue , because I am able to add and publish other PDF. But not ID 31688. I think there are some issues with this PDF only. Can you please ask user to copy the content and pasted in another one and try again.</t>
  </si>
  <si>
    <t>we get the folling errors if we want to publish files:
System.UnauthorizedAccessException: Die COM-Klassenfactory für die Komponente mit CLSID {00024500-0000-0000-C000-000000000046} konnte aufgrund des folgenden Fehlers nicht abgerufen werden: 80070005 Zugriff verweigert (Ausnahme von HRESULT: 0x80070005 (E_ACCESSDENIED)).</t>
  </si>
  <si>
    <t>As we have checked, user credentials not set in service and introp.</t>
  </si>
  <si>
    <t>Alina Mehlhaf</t>
  </si>
  <si>
    <t>MS LDS Website is not working</t>
  </si>
  <si>
    <t>As I have checked, service is not running. So I have started that now website is running.</t>
  </si>
  <si>
    <t>Quasius Login on webpage required</t>
  </si>
  <si>
    <t>As we have checked, user fill the wrong domain in credentials. We have tell them to use the server domain. And problem is resolved.</t>
  </si>
  <si>
    <t>CIWI</t>
  </si>
  <si>
    <t>new customer CIWI , setup MSQDS application.</t>
  </si>
  <si>
    <t>1. We have setup the MSQDS Client and Website on new site.
2. And after installation , fixed issues with user and Raban.</t>
  </si>
  <si>
    <t>BW-TECH</t>
  </si>
  <si>
    <t>Publishing ID 29 Excel BW-Tech site</t>
  </si>
  <si>
    <t>As we have checked, I am able to publish the document id 29. I inform the same to user.</t>
  </si>
  <si>
    <t>Deactivate the English language
Set the user “suk94” as web admin
An other question, is an excel template view in MS LDS an web possible? .xltx and . xltm? I think Foehl is using them.</t>
  </si>
  <si>
    <t>We have deactivate English langauge from DB and create new licence because we deactivate EN from application,
Also set user "suk94" as Admin user.
I also add these extensions in the php site configuration.</t>
  </si>
  <si>
    <t>the web view of the excel xltm and xltx isn’t working and he like only that the original file will shown on web to download, no pdf.</t>
  </si>
  <si>
    <t>As I have checked, I am able to download the .xltm extension files from web. But the icons not showing.</t>
  </si>
  <si>
    <t>document ID#31797. The header and footer are not displaying correctly after publication.</t>
  </si>
  <si>
    <t>As we have checked, document not published correctly.</t>
  </si>
  <si>
    <t>When removing an association from a document, the following error message appears. The application does not remove the association and closes upon confirmation.</t>
  </si>
  <si>
    <t>As we have checked, this is the limitation of version 5 and we have corrected this from the database</t>
  </si>
  <si>
    <t>1. in the view of the document in html, the umlauts “Ä,Ö,Ü” is not shown.
2.The black field in the view is not needed, so the file is not shown in the complete width</t>
  </si>
  <si>
    <t>As we have checked, the PHP code is not correct for the foehl site. So we have fixed that for point 1.
and for point 2 , we have remove the black area manually from the html view.</t>
  </si>
  <si>
    <t>sims</t>
  </si>
  <si>
    <t>Document couldn't released und published and issue in the distibution list</t>
  </si>
  <si>
    <t>As I have able to publish the document on server , so I simulate the Mr. Rolf profile and publish the original document but distibution list is not adding, so I have checked the issue in the logs and we found , there is some issue in Database(distibution list table and document assoctaied incorrectly), so I have correct that and add the provided distribution list.</t>
  </si>
  <si>
    <t>FEB008</t>
  </si>
  <si>
    <t>Please can you check if they have a group named “Maschinendatenblätter”? If yes, please set them instead of “Schwarzes Brett” on the web</t>
  </si>
  <si>
    <t>I have changed the reuired changes in the website and set the group in "Schwarzes Brett"</t>
  </si>
  <si>
    <t>FEB009</t>
  </si>
  <si>
    <t>implement the print button again on website</t>
  </si>
  <si>
    <t>So we have provide the correct website build and print button appear again.</t>
  </si>
  <si>
    <t>FEB0010</t>
  </si>
  <si>
    <t>Prüfanleitungen“ and „FDE“ such as „QVP Formblätter“ are missing. 
( File Templates_missing)</t>
  </si>
  <si>
    <t>As we have checked, these types are not set as publish as template.</t>
  </si>
  <si>
    <t>FEB0011</t>
  </si>
  <si>
    <t>renew the licence file.</t>
  </si>
  <si>
    <t>As we have checked, hardware ID is changed, so we have create new licence file and configure the same.</t>
  </si>
  <si>
    <t>FEB0012</t>
  </si>
  <si>
    <t>I scheduled a teams call right now, please join it, because of the issue of searching documents</t>
  </si>
  <si>
    <t>As we have checked in call, their local IT team change the exe build from old exe build that's why the search is not working. We inform the user this.</t>
  </si>
  <si>
    <t>FEB0013</t>
  </si>
  <si>
    <t xml:space="preserve">ID 11 at BW-Tch site cannot published </t>
  </si>
  <si>
    <t>As we have checked, the printer driver is not installed on server that's why the excel is not published from users machine, so we suggest to IT team to install the printer drivers.</t>
  </si>
  <si>
    <t>FEB0014</t>
  </si>
  <si>
    <t>please contact Enrico Florian from MFV and install email distribution in MS QDS</t>
  </si>
  <si>
    <t>we get the SMTP Information from the user and set this is DB tool for email distribution.</t>
  </si>
  <si>
    <t>Licence file no longer valid</t>
  </si>
  <si>
    <t>as we have checked, they have restart the server , so the hardware id has been changed and we have create new licence and configure the same.</t>
  </si>
  <si>
    <t xml:space="preserve">Fehler </t>
  </si>
  <si>
    <t>Configuration of email distribution</t>
  </si>
  <si>
    <t>We have set the required credentials of SMTP Server</t>
  </si>
  <si>
    <t>MVF</t>
  </si>
  <si>
    <t>need user name and password for MS LDS Website admin panel, email distrubution is working?</t>
  </si>
  <si>
    <r>
      <t>the user account that you are using to log in through the browser should also exist in the </t>
    </r>
    <r>
      <rPr>
        <b/>
        <sz val="11"/>
        <color rgb="FF000000"/>
        <rFont val="Aptos"/>
        <family val="2"/>
      </rPr>
      <t>MS LDS Client → User Management</t>
    </r>
    <r>
      <rPr>
        <sz val="11"/>
        <color rgb="FF000000"/>
        <rFont val="Aptos"/>
        <family val="2"/>
      </rPr>
      <t> and must be properly configured there (Active and NTAuth enabled).</t>
    </r>
  </si>
  <si>
    <t>On the screen from Thomas you can see it is not „MFV Maschinenbau“, we can see „undefined“, but on screen from Axel we have „MFV Maschinenbau“ and both are using the same link and settings on MS LDS website are the right one</t>
  </si>
  <si>
    <t>clear the browser cache once and reload the website</t>
  </si>
  <si>
    <t xml:space="preserve">why are frozzen documents are shown on web? </t>
  </si>
  <si>
    <r>
      <t>not able to fine document 2760 on client and web(May be they deleted that) but Frozen documents will visible on web. If you don’t want to see on web then please choose “</t>
    </r>
    <r>
      <rPr>
        <b/>
        <sz val="11"/>
        <color rgb="FF242424"/>
        <rFont val="Aptos"/>
        <family val="2"/>
      </rPr>
      <t>Do not view on web</t>
    </r>
    <r>
      <rPr>
        <sz val="11"/>
        <color rgb="FF242424"/>
        <rFont val="Aptos"/>
        <family val="2"/>
      </rPr>
      <t>”  option</t>
    </r>
  </si>
  <si>
    <t>Cawi</t>
  </si>
  <si>
    <t>In the weB,have no access to the admin panel and document extensions are missing</t>
  </si>
  <si>
    <t>added the extension icons on client and website, and provide admin rights</t>
  </si>
  <si>
    <t>Got a problem with republishing a file</t>
  </si>
  <si>
    <t>There are a issue in document itself so we suggest try to edit document once and republish it</t>
  </si>
  <si>
    <t>expand licenses MFV from 5 to 11 until tomorrow.</t>
  </si>
  <si>
    <t>We have created new license and configure it.</t>
  </si>
  <si>
    <t>MSQDS Support Efforts Summary - Monthwise</t>
  </si>
  <si>
    <t>Month</t>
  </si>
  <si>
    <t>Support
Tasks Efforts (Hrs)</t>
  </si>
  <si>
    <t>Support Efforts 
(Man Months)</t>
  </si>
  <si>
    <t>Commultive 
(Man Months)</t>
  </si>
  <si>
    <t>APR</t>
  </si>
  <si>
    <t>Error Message MS LDS Brakes and Clutch Parts</t>
  </si>
  <si>
    <t>We checked the below link which you have provided and able to access on server. We suggest to check with your IT team.</t>
  </si>
  <si>
    <t>Seifert</t>
  </si>
  <si>
    <t xml:space="preserve">Jan Weßbecher
</t>
  </si>
  <si>
    <t xml:space="preserve">We have investigated the issue and identified that the PHP (WAMP server) code was not reading the AD paths correctly. </t>
  </si>
  <si>
    <t xml:space="preserve"> We suggest restart the service once and check again and Adrain found the solution "The issue was caused by UTF-32 formatted answers. This made problems on our systems, because in the european language area UTF-8 is normally used as standard encoding."</t>
  </si>
  <si>
    <t>In the Web are zwei different versions of one document. PDF and Word are different.</t>
  </si>
  <si>
    <t xml:space="preserve">Raban </t>
  </si>
  <si>
    <t>Jan Weßbecher</t>
  </si>
  <si>
    <t>We check and found default printer is not set on server and we suggest to check with your local IT team.</t>
  </si>
  <si>
    <t>install MS LDS Version 5.17</t>
  </si>
  <si>
    <t>Installed and done setup</t>
  </si>
  <si>
    <t>Experiencing an issue with the links in the MDSLDS Client.</t>
  </si>
  <si>
    <t>SIMS email notifications looks like the templates is no longer working correctly.</t>
  </si>
  <si>
    <t>The path without ulm.seifert is sometimes working, if they copy from the intranet with the right mouseclick and copy them into the browser</t>
  </si>
  <si>
    <t>We have create new licence file and configure the same.</t>
  </si>
  <si>
    <t>Comp</t>
  </si>
  <si>
    <t>Sims does not publish documents and crashes</t>
  </si>
  <si>
    <t>Jan Webssbecher</t>
  </si>
  <si>
    <t>MS LDS Document ID 59 cannot be published</t>
  </si>
  <si>
    <t>WHW Hillebrand</t>
  </si>
  <si>
    <t>calculate the needed time before starting the process, it isn’t included for the customer</t>
  </si>
  <si>
    <t>It will take around 16-20 hours because we have to setup all the things on new server.</t>
  </si>
  <si>
    <t>Katharina</t>
  </si>
  <si>
    <t>can’t open an archive version of an document.</t>
  </si>
  <si>
    <t>When the Excel file is downloaded from SIMS and opened in Microsoft Excel, the following warning message is displayed</t>
  </si>
  <si>
    <t xml:space="preserve">Regina </t>
  </si>
  <si>
    <t>This behavior cannot be changed, as it is part of how the application is designed to work</t>
  </si>
  <si>
    <t xml:space="preserve">Andreas </t>
  </si>
  <si>
    <t>When documents have already been downloaded from SIMS to your computer and you open them, you cannot click on the links within those documents in a way that opens the document directly on your computer</t>
  </si>
  <si>
    <t>This issue is not related to the website itself. The URLs are incorrect inside the documents.</t>
  </si>
  <si>
    <t>f the link is: BLOCKEDsims[.]ulm[.]seifert:81/lds/D777[.]htmBLOCKED, the browser will open a new tab, but without any credentials and they can’t download the file</t>
  </si>
  <si>
    <t>For MSLDS_Carsig ist he same webside path noticed, so I can’t open the SMQDS:MSQF website. Please also create then a new desktop link for MSQDS_MSQF website.</t>
  </si>
  <si>
    <t>CarSig</t>
  </si>
  <si>
    <t xml:space="preserve">Kontakt </t>
  </si>
  <si>
    <t>MAY008</t>
  </si>
  <si>
    <t>We have change in config file for admin access</t>
  </si>
  <si>
    <t>Recreate/assign the workflow again</t>
  </si>
  <si>
    <t>We suggest ask your local IT team to check this? It might be an issue with the printer driver installation.</t>
  </si>
  <si>
    <t>Document is currently in the 'Released' status. Once you publish it, it will be visible in QMH</t>
  </si>
  <si>
    <t>Will correct the credentials for all instances then you will be able to publish all documents.</t>
  </si>
  <si>
    <t>JUN001</t>
  </si>
  <si>
    <t>JUN</t>
  </si>
  <si>
    <t>JUN002</t>
  </si>
  <si>
    <t>JUN003</t>
  </si>
  <si>
    <t>JUN004</t>
  </si>
  <si>
    <t>JUN005</t>
  </si>
  <si>
    <t>Display issues on our MSLDS website,the placeholders are not being applied</t>
  </si>
  <si>
    <t xml:space="preserve">Michael </t>
  </si>
  <si>
    <t>CAWI</t>
  </si>
  <si>
    <t>The ID 2553 is published , but in the web, there is no PDF created and also the html isn’t available. If we open the web view from the database, it will cut the view on the left side.</t>
  </si>
  <si>
    <t>Wolfram</t>
  </si>
  <si>
    <t>File F_107_03 (ID#24734) was not fully published after being uploaded to MSLDS</t>
  </si>
  <si>
    <t>Michal Orlowski</t>
  </si>
  <si>
    <t>We have to check length of tags after replaced. In header/footer, total length of tags may exceed to 255.</t>
  </si>
  <si>
    <t xml:space="preserve">Intranet of CAWI, it shows only “undefined” </t>
  </si>
  <si>
    <t>Michael Rath</t>
  </si>
  <si>
    <t>We suggest to clear browser cache.</t>
  </si>
  <si>
    <t>Documents ID 6433 and ID 2122 ,The PDF links don't work .</t>
  </si>
  <si>
    <t>Html and PDF files are not generated</t>
  </si>
  <si>
    <t>It is working fine in Chrome.</t>
  </si>
  <si>
    <t>Need to add margin in file and Its look same original file</t>
  </si>
  <si>
    <t>juyytyu</t>
  </si>
  <si>
    <t>Zündel Wolfram</t>
  </si>
  <si>
    <t>Server Move to Kaiser</t>
  </si>
  <si>
    <t>Server successfully moved to kaiser</t>
  </si>
  <si>
    <t>Document titles not visible and documents could not be opened</t>
  </si>
  <si>
    <t>We have change in config file to change ip with host name</t>
  </si>
  <si>
    <t>Website documents downloadable only; PDF/Web view unavailable</t>
  </si>
  <si>
    <t>We suggested to edit the document and publish again.</t>
  </si>
  <si>
    <t>Duplicate "Neue Gruppe" folders cannot be deleted</t>
  </si>
  <si>
    <t>We deleted the folder from the database with the relevant folder ID</t>
  </si>
  <si>
    <t>Update executable to generate missing PDF/HTML files</t>
  </si>
  <si>
    <t>We have updated exe to skip password protected file and generate the document for non protected files.</t>
  </si>
  <si>
    <t>awaited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</si>
</sst>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409]d\-mmm\-yy;@"/>
  </numFmts>
  <fonts count="21" x14ac:knownFonts="1">
    <font>
      <sz val="11"/>
      <color theme="1"/>
      <name val="Calibri"/>
      <family val="2"/>
      <scheme val="minor"/>
    </font>
    <font>
      <sz val="10"/>
      <name val="Arial"/>
      <family val="2"/>
    </font>
    <font>
      <b/>
      <sz val="24"/>
      <name val="Arial"/>
      <family val="2"/>
    </font>
    <font>
      <b/>
      <sz val="16"/>
      <name val="Arial"/>
      <family val="2"/>
    </font>
    <font>
      <b/>
      <sz val="14"/>
      <name val="Arial"/>
      <family val="2"/>
    </font>
    <font>
      <b/>
      <sz val="12"/>
      <name val="Arial"/>
      <family val="2"/>
    </font>
    <font>
      <sz val="10"/>
      <color theme="1"/>
      <name val="Arial"/>
      <family val="2"/>
    </font>
    <font>
      <sz val="11"/>
      <color theme="1"/>
      <name val="Arial"/>
      <family val="2"/>
    </font>
    <font>
      <sz val="11"/>
      <color rgb="FF000000"/>
      <name val="Aptos"/>
      <family val="2"/>
    </font>
    <font>
      <sz val="11"/>
      <color theme="1"/>
      <name val="Droid Sans"/>
    </font>
    <font>
      <sz val="10"/>
      <color theme="1"/>
      <name val="Open Sans"/>
      <family val="2"/>
    </font>
    <font>
      <sz val="12"/>
      <color rgb="FF000000"/>
      <name val="Aptos"/>
      <family val="2"/>
    </font>
    <font>
      <sz val="12"/>
      <color theme="1"/>
      <name val="Times New Roman"/>
      <family val="1"/>
    </font>
    <font>
      <sz val="8"/>
      <name val="Calibri"/>
      <family val="2"/>
      <scheme val="minor"/>
    </font>
    <font>
      <sz val="11"/>
      <color rgb="FF242424"/>
      <name val="Aptos"/>
      <family val="2"/>
    </font>
    <font>
      <b/>
      <sz val="11"/>
      <color rgb="FF242424"/>
      <name val="Aptos"/>
      <family val="2"/>
    </font>
    <font>
      <b/>
      <sz val="11"/>
      <color rgb="FF000000"/>
      <name val="Aptos"/>
      <family val="2"/>
    </font>
    <font>
      <sz val="11"/>
      <color theme="1"/>
      <name val="Times New Roman"/>
      <family val="1"/>
    </font>
    <font>
      <sz val="11"/>
      <color theme="1"/>
      <name val="Calibri"/>
      <family val="2"/>
      <charset val="1"/>
    </font>
    <font>
      <sz val="11"/>
      <color rgb="FF242424"/>
      <name val="Segoe UI"/>
      <family val="2"/>
    </font>
    <font>
      <sz val="11"/>
      <color rgb="FF242424"/>
      <name val="Arial"/>
      <family val="2"/>
    </font>
  </fonts>
  <fills count="3">
    <fill>
      <patternFill patternType="none"/>
    </fill>
    <fill>
      <patternFill patternType="gray125"/>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164" fontId="1" fillId="0" borderId="0"/>
  </cellStyleXfs>
  <cellXfs count="53">
    <xf numFmtId="0" fontId="0" fillId="0" borderId="0" xfId="0"/>
    <xf numFmtId="164" fontId="4" fillId="0" borderId="5" xfId="1" applyFont="1" applyBorder="1" applyAlignment="1">
      <alignment horizontal="center" vertical="center" wrapText="1"/>
    </xf>
    <xf numFmtId="164" fontId="4" fillId="0" borderId="6" xfId="1" applyFont="1" applyBorder="1" applyAlignment="1">
      <alignment horizontal="center" vertical="top" wrapText="1"/>
    </xf>
    <xf numFmtId="2" fontId="4" fillId="0" borderId="7" xfId="1" applyNumberFormat="1" applyFont="1" applyBorder="1" applyAlignment="1">
      <alignment horizontal="center" vertical="center" wrapText="1"/>
    </xf>
    <xf numFmtId="2" fontId="4" fillId="0" borderId="8" xfId="1" applyNumberFormat="1" applyFont="1" applyBorder="1" applyAlignment="1">
      <alignment horizontal="center" vertical="top" wrapText="1"/>
    </xf>
    <xf numFmtId="0" fontId="6" fillId="0" borderId="1" xfId="0" applyFont="1" applyBorder="1" applyAlignment="1">
      <alignment wrapText="1"/>
    </xf>
    <xf numFmtId="17" fontId="4" fillId="0" borderId="1" xfId="1" applyNumberFormat="1" applyFont="1" applyBorder="1" applyAlignment="1">
      <alignment horizontal="left" vertical="top"/>
    </xf>
    <xf numFmtId="2" fontId="4" fillId="0" borderId="1" xfId="1" applyNumberFormat="1" applyFont="1" applyBorder="1" applyAlignment="1">
      <alignment horizontal="center" vertical="top" wrapText="1"/>
    </xf>
    <xf numFmtId="0" fontId="0" fillId="0" borderId="1" xfId="0" applyBorder="1" applyAlignment="1">
      <alignment wrapText="1"/>
    </xf>
    <xf numFmtId="0" fontId="0" fillId="0" borderId="1" xfId="0" applyBorder="1"/>
    <xf numFmtId="14" fontId="0" fillId="0" borderId="1" xfId="0" applyNumberFormat="1" applyBorder="1"/>
    <xf numFmtId="164" fontId="5" fillId="0" borderId="1" xfId="1" applyFont="1" applyBorder="1"/>
    <xf numFmtId="164" fontId="5" fillId="0" borderId="1" xfId="1" applyFont="1" applyBorder="1" applyAlignment="1">
      <alignment wrapText="1"/>
    </xf>
    <xf numFmtId="165" fontId="5" fillId="0" borderId="1" xfId="1" applyNumberFormat="1" applyFont="1" applyBorder="1" applyAlignment="1">
      <alignment wrapText="1"/>
    </xf>
    <xf numFmtId="0" fontId="2" fillId="0" borderId="1" xfId="0" applyFont="1" applyBorder="1" applyAlignment="1">
      <alignment wrapText="1"/>
    </xf>
    <xf numFmtId="0" fontId="8" fillId="0" borderId="1" xfId="0" applyFont="1" applyBorder="1" applyAlignment="1">
      <alignment wrapText="1"/>
    </xf>
    <xf numFmtId="0" fontId="7" fillId="0" borderId="0" xfId="0" applyFont="1" applyAlignment="1">
      <alignment wrapText="1"/>
    </xf>
    <xf numFmtId="0" fontId="9" fillId="0" borderId="0" xfId="0" applyFont="1"/>
    <xf numFmtId="0" fontId="8" fillId="0" borderId="0" xfId="0" applyFont="1"/>
    <xf numFmtId="0" fontId="10" fillId="0" borderId="0" xfId="0" applyFont="1"/>
    <xf numFmtId="0" fontId="6" fillId="0" borderId="0" xfId="0" applyFont="1"/>
    <xf numFmtId="0" fontId="6"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12" fillId="0" borderId="0" xfId="0" applyFont="1" applyAlignment="1">
      <alignment vertical="center"/>
    </xf>
    <xf numFmtId="0" fontId="9" fillId="0" borderId="0" xfId="0" applyFont="1" applyAlignment="1">
      <alignment vertical="center"/>
    </xf>
    <xf numFmtId="0" fontId="0" fillId="0" borderId="9" xfId="0" applyBorder="1"/>
    <xf numFmtId="0" fontId="17" fillId="0" borderId="9" xfId="0" applyFont="1" applyBorder="1"/>
    <xf numFmtId="0" fontId="0" fillId="0" borderId="8" xfId="0" applyBorder="1"/>
    <xf numFmtId="0" fontId="0" fillId="0" borderId="9" xfId="0" applyBorder="1" applyAlignment="1">
      <alignment wrapText="1"/>
    </xf>
    <xf numFmtId="0" fontId="0" fillId="0" borderId="8" xfId="0" applyBorder="1" applyAlignment="1">
      <alignment wrapText="1"/>
    </xf>
    <xf numFmtId="14" fontId="0" fillId="0" borderId="9" xfId="0" applyNumberFormat="1" applyBorder="1"/>
    <xf numFmtId="0" fontId="8" fillId="0" borderId="9" xfId="0" applyFont="1" applyBorder="1" applyAlignment="1">
      <alignment wrapText="1"/>
    </xf>
    <xf numFmtId="0" fontId="14" fillId="0" borderId="9" xfId="0" applyFont="1" applyBorder="1" applyAlignment="1">
      <alignment wrapText="1"/>
    </xf>
    <xf numFmtId="0" fontId="9" fillId="0" borderId="9" xfId="0" applyFont="1" applyBorder="1"/>
    <xf numFmtId="0" fontId="18" fillId="0" borderId="9" xfId="0" applyFont="1" applyBorder="1"/>
    <xf numFmtId="0" fontId="0" fillId="0" borderId="10" xfId="0" applyBorder="1"/>
    <xf numFmtId="14" fontId="0" fillId="0" borderId="8" xfId="0" applyNumberFormat="1" applyBorder="1"/>
    <xf numFmtId="0" fontId="0" fillId="0" borderId="11" xfId="0" applyBorder="1"/>
    <xf numFmtId="0" fontId="0" fillId="0" borderId="12" xfId="0" applyBorder="1"/>
    <xf numFmtId="0" fontId="0" fillId="0" borderId="13" xfId="0" applyBorder="1" applyAlignment="1">
      <alignment wrapText="1"/>
    </xf>
    <xf numFmtId="0" fontId="11" fillId="0" borderId="0" xfId="0" applyFont="1"/>
    <xf numFmtId="0" fontId="9" fillId="0" borderId="1" xfId="0" applyFont="1" applyBorder="1" applyAlignment="1">
      <alignment wrapText="1"/>
    </xf>
    <xf numFmtId="14" fontId="0" fillId="0" borderId="1" xfId="0" applyNumberFormat="1" applyBorder="1" applyAlignment="1">
      <alignment wrapText="1"/>
    </xf>
    <xf numFmtId="0" fontId="0" fillId="0" borderId="10" xfId="0" applyBorder="1" applyAlignment="1">
      <alignment wrapText="1"/>
    </xf>
    <xf numFmtId="0" fontId="19" fillId="0" borderId="1" xfId="0" applyFont="1" applyBorder="1" applyAlignment="1">
      <alignment wrapText="1"/>
    </xf>
    <xf numFmtId="0" fontId="17" fillId="0" borderId="1" xfId="0" applyFont="1" applyBorder="1" applyAlignment="1">
      <alignment wrapText="1"/>
    </xf>
    <xf numFmtId="0" fontId="11" fillId="0" borderId="1" xfId="0" applyFont="1" applyBorder="1" applyAlignment="1">
      <alignment wrapText="1"/>
    </xf>
    <xf numFmtId="0" fontId="20" fillId="0" borderId="1" xfId="0" applyFont="1" applyBorder="1" applyAlignment="1">
      <alignment wrapText="1"/>
    </xf>
    <xf numFmtId="0" fontId="2" fillId="0" borderId="1" xfId="0" applyFont="1" applyBorder="1" applyAlignment="1">
      <alignment wrapText="1"/>
    </xf>
    <xf numFmtId="164" fontId="3" fillId="2" borderId="2" xfId="1" applyFont="1" applyFill="1" applyBorder="1" applyAlignment="1">
      <alignment horizontal="center" vertical="top"/>
    </xf>
    <xf numFmtId="164" fontId="3" fillId="2" borderId="3" xfId="1" applyFont="1" applyFill="1" applyBorder="1" applyAlignment="1">
      <alignment horizontal="center" vertical="top"/>
    </xf>
    <xf numFmtId="164" fontId="3" fillId="2" borderId="4" xfId="1" applyFont="1" applyFill="1" applyBorder="1" applyAlignment="1">
      <alignment horizontal="center" vertical="top"/>
    </xf>
  </cellXfs>
  <cellStyles count="2">
    <cellStyle name="Normal 2" xfId="1" xr:uid="{00000000-0005-0000-0000-000001000000}"/>
    <cellStyle name="Standard"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8"/>
  <sheetViews>
    <sheetView tabSelected="1" zoomScaleNormal="100" workbookViewId="0">
      <pane ySplit="2" topLeftCell="A3" activePane="bottomLeft" state="frozen"/>
      <selection activeCell="J1" sqref="J1"/>
      <selection pane="bottomLeft" activeCell="I13" sqref="I13"/>
    </sheetView>
  </sheetViews>
  <sheetFormatPr baseColWidth="10" defaultColWidth="9.140625" defaultRowHeight="15" x14ac:dyDescent="0.25"/>
  <cols>
    <col min="1" max="1" width="7.140625" style="9" bestFit="1" customWidth="1"/>
    <col min="2" max="2" width="13.85546875" style="9" customWidth="1"/>
    <col min="3" max="3" width="8.140625" style="9" bestFit="1" customWidth="1"/>
    <col min="4" max="4" width="14.140625" style="9" customWidth="1"/>
    <col min="5" max="5" width="30.140625" style="9" bestFit="1" customWidth="1"/>
    <col min="6" max="6" width="20.140625" style="9" customWidth="1"/>
    <col min="7" max="7" width="11.42578125" style="9" bestFit="1" customWidth="1"/>
    <col min="8" max="8" width="17.5703125" style="9" customWidth="1"/>
    <col min="9" max="9" width="84.85546875" style="8" customWidth="1"/>
    <col min="10" max="10" width="36.28515625" style="9" customWidth="1"/>
    <col min="11" max="11" width="58.7109375" style="8" bestFit="1" customWidth="1"/>
    <col min="12" max="12" width="40" style="9" customWidth="1"/>
    <col min="13" max="13" width="17.7109375" style="9" bestFit="1" customWidth="1"/>
    <col min="14" max="14" width="19.7109375" style="9" bestFit="1" customWidth="1"/>
    <col min="15" max="15" width="8.28515625" style="9" bestFit="1" customWidth="1"/>
    <col min="16" max="16" width="16.85546875" style="9" bestFit="1" customWidth="1"/>
    <col min="17" max="16384" width="9.140625" style="9"/>
  </cols>
  <sheetData>
    <row r="1" spans="1:16" s="8" customFormat="1" ht="30" customHeight="1" x14ac:dyDescent="0.4">
      <c r="A1" s="49" t="s">
        <v>0</v>
      </c>
      <c r="B1" s="49"/>
      <c r="C1" s="49"/>
      <c r="D1" s="49"/>
      <c r="E1" s="14"/>
      <c r="F1" s="14"/>
      <c r="G1" s="14"/>
      <c r="H1" s="14"/>
      <c r="I1" s="14"/>
      <c r="J1" s="14"/>
      <c r="K1" s="14"/>
      <c r="L1" s="14"/>
      <c r="M1" s="14"/>
      <c r="N1" s="14"/>
    </row>
    <row r="2" spans="1:16" s="11" customFormat="1" ht="31.5" x14ac:dyDescent="0.25">
      <c r="A2" s="11" t="s">
        <v>1</v>
      </c>
      <c r="B2" s="11" t="s">
        <v>2</v>
      </c>
      <c r="C2" s="12" t="s">
        <v>3</v>
      </c>
      <c r="D2" s="13" t="s">
        <v>4</v>
      </c>
      <c r="E2" s="13" t="s">
        <v>5</v>
      </c>
      <c r="F2" s="13" t="s">
        <v>6</v>
      </c>
      <c r="G2" s="13" t="s">
        <v>7</v>
      </c>
      <c r="H2" s="13" t="s">
        <v>8</v>
      </c>
      <c r="I2" s="13" t="s">
        <v>9</v>
      </c>
      <c r="J2" s="13" t="s">
        <v>10</v>
      </c>
      <c r="K2" s="13" t="s">
        <v>11</v>
      </c>
      <c r="L2" s="13" t="s">
        <v>12</v>
      </c>
      <c r="M2" s="13" t="s">
        <v>13</v>
      </c>
      <c r="N2" s="13" t="s">
        <v>14</v>
      </c>
      <c r="O2" s="12" t="s">
        <v>15</v>
      </c>
      <c r="P2" s="11" t="s">
        <v>16</v>
      </c>
    </row>
    <row r="3" spans="1:16" ht="30" x14ac:dyDescent="0.25">
      <c r="A3" s="9">
        <v>147</v>
      </c>
      <c r="B3" s="9" t="s">
        <v>122</v>
      </c>
      <c r="C3" s="9" t="s">
        <v>80</v>
      </c>
      <c r="D3" s="10">
        <v>45665</v>
      </c>
      <c r="E3" s="9" t="s">
        <v>27</v>
      </c>
      <c r="F3" s="9" t="s">
        <v>84</v>
      </c>
      <c r="G3" s="9" t="s">
        <v>20</v>
      </c>
      <c r="H3" s="9" t="s">
        <v>21</v>
      </c>
      <c r="I3" s="5" t="s">
        <v>123</v>
      </c>
      <c r="K3" s="8" t="s">
        <v>121</v>
      </c>
      <c r="L3" s="9" t="s">
        <v>52</v>
      </c>
      <c r="M3" s="9" t="s">
        <v>82</v>
      </c>
      <c r="N3" s="10">
        <v>45667</v>
      </c>
      <c r="O3" s="9" t="s">
        <v>22</v>
      </c>
      <c r="P3" s="9">
        <v>3</v>
      </c>
    </row>
    <row r="4" spans="1:16" ht="60" x14ac:dyDescent="0.25">
      <c r="A4" s="9">
        <v>148</v>
      </c>
      <c r="B4" s="9" t="s">
        <v>124</v>
      </c>
      <c r="C4" s="9" t="s">
        <v>80</v>
      </c>
      <c r="D4" s="10">
        <v>45670</v>
      </c>
      <c r="E4" s="9" t="s">
        <v>125</v>
      </c>
      <c r="F4" s="9" t="s">
        <v>32</v>
      </c>
      <c r="G4" s="9" t="s">
        <v>20</v>
      </c>
      <c r="H4" s="9" t="s">
        <v>21</v>
      </c>
      <c r="I4" s="8" t="s">
        <v>126</v>
      </c>
      <c r="K4" s="8" t="s">
        <v>127</v>
      </c>
      <c r="L4" s="9" t="s">
        <v>52</v>
      </c>
      <c r="M4" s="9" t="s">
        <v>82</v>
      </c>
      <c r="N4" s="10">
        <v>45671</v>
      </c>
      <c r="O4" s="9" t="s">
        <v>22</v>
      </c>
      <c r="P4" s="9">
        <v>3</v>
      </c>
    </row>
    <row r="5" spans="1:16" ht="30" x14ac:dyDescent="0.25">
      <c r="A5" s="9">
        <v>149</v>
      </c>
      <c r="B5" s="9" t="s">
        <v>128</v>
      </c>
      <c r="C5" s="9" t="s">
        <v>80</v>
      </c>
      <c r="D5" s="10">
        <v>45681</v>
      </c>
      <c r="E5" s="9" t="s">
        <v>27</v>
      </c>
      <c r="F5" s="9" t="s">
        <v>129</v>
      </c>
      <c r="G5" s="9" t="s">
        <v>20</v>
      </c>
      <c r="H5" s="9" t="s">
        <v>21</v>
      </c>
      <c r="I5" s="8" t="s">
        <v>130</v>
      </c>
      <c r="K5" s="8" t="s">
        <v>131</v>
      </c>
      <c r="L5" s="9" t="s">
        <v>52</v>
      </c>
      <c r="M5" s="9" t="s">
        <v>82</v>
      </c>
      <c r="N5" s="10">
        <v>45321</v>
      </c>
      <c r="O5" s="9" t="s">
        <v>22</v>
      </c>
      <c r="P5" s="9">
        <v>4</v>
      </c>
    </row>
    <row r="6" spans="1:16" ht="30" x14ac:dyDescent="0.25">
      <c r="A6" s="9">
        <v>150</v>
      </c>
      <c r="B6" s="9" t="s">
        <v>132</v>
      </c>
      <c r="C6" s="9" t="s">
        <v>93</v>
      </c>
      <c r="D6" s="10">
        <v>45691</v>
      </c>
      <c r="E6" s="9" t="s">
        <v>48</v>
      </c>
      <c r="F6" s="9" t="s">
        <v>71</v>
      </c>
      <c r="G6" s="9" t="s">
        <v>20</v>
      </c>
      <c r="H6" s="9" t="s">
        <v>21</v>
      </c>
      <c r="I6" s="5" t="s">
        <v>133</v>
      </c>
      <c r="K6" s="8" t="s">
        <v>134</v>
      </c>
      <c r="L6" s="9" t="s">
        <v>52</v>
      </c>
      <c r="M6" s="9" t="s">
        <v>82</v>
      </c>
      <c r="N6" s="10">
        <v>45691</v>
      </c>
      <c r="O6" s="9" t="s">
        <v>22</v>
      </c>
      <c r="P6" s="9">
        <v>4</v>
      </c>
    </row>
    <row r="7" spans="1:16" ht="30" x14ac:dyDescent="0.25">
      <c r="A7" s="9">
        <v>151</v>
      </c>
      <c r="B7" s="9" t="s">
        <v>135</v>
      </c>
      <c r="C7" s="9" t="s">
        <v>93</v>
      </c>
      <c r="D7" s="10">
        <v>45691</v>
      </c>
      <c r="E7" s="9" t="s">
        <v>136</v>
      </c>
      <c r="F7" s="9" t="s">
        <v>119</v>
      </c>
      <c r="G7" s="9" t="s">
        <v>20</v>
      </c>
      <c r="H7" s="9" t="s">
        <v>21</v>
      </c>
      <c r="I7" s="15" t="s">
        <v>137</v>
      </c>
      <c r="K7" s="8" t="s">
        <v>138</v>
      </c>
      <c r="L7" s="9" t="s">
        <v>52</v>
      </c>
      <c r="M7" s="9" t="s">
        <v>82</v>
      </c>
      <c r="N7" s="10">
        <v>45691</v>
      </c>
      <c r="O7" s="9" t="s">
        <v>22</v>
      </c>
      <c r="P7" s="9">
        <v>3</v>
      </c>
    </row>
    <row r="8" spans="1:16" ht="26.25" x14ac:dyDescent="0.25">
      <c r="A8" s="9">
        <v>152</v>
      </c>
      <c r="B8" s="9" t="s">
        <v>139</v>
      </c>
      <c r="C8" s="9" t="s">
        <v>93</v>
      </c>
      <c r="D8" s="10">
        <v>45692</v>
      </c>
      <c r="E8" s="9" t="s">
        <v>111</v>
      </c>
      <c r="F8" s="9" t="s">
        <v>116</v>
      </c>
      <c r="G8" s="9" t="s">
        <v>20</v>
      </c>
      <c r="H8" s="9" t="s">
        <v>21</v>
      </c>
      <c r="I8" s="8" t="s">
        <v>140</v>
      </c>
      <c r="K8" s="5" t="s">
        <v>141</v>
      </c>
      <c r="L8" s="9" t="s">
        <v>52</v>
      </c>
      <c r="M8" s="9" t="s">
        <v>82</v>
      </c>
      <c r="N8" s="10">
        <v>45692</v>
      </c>
      <c r="O8" s="9" t="s">
        <v>22</v>
      </c>
      <c r="P8" s="9">
        <v>2</v>
      </c>
    </row>
    <row r="9" spans="1:16" ht="26.25" x14ac:dyDescent="0.25">
      <c r="A9" s="9">
        <v>153</v>
      </c>
      <c r="B9" s="9" t="s">
        <v>142</v>
      </c>
      <c r="C9" s="9" t="s">
        <v>93</v>
      </c>
      <c r="D9" s="10">
        <v>45693</v>
      </c>
      <c r="E9" s="9" t="s">
        <v>112</v>
      </c>
      <c r="F9" s="9" t="s">
        <v>36</v>
      </c>
      <c r="G9" s="9" t="s">
        <v>20</v>
      </c>
      <c r="H9" s="9" t="s">
        <v>21</v>
      </c>
      <c r="I9" s="8" t="s">
        <v>143</v>
      </c>
      <c r="K9" s="5" t="s">
        <v>144</v>
      </c>
      <c r="L9" s="9" t="s">
        <v>52</v>
      </c>
      <c r="M9" s="9" t="s">
        <v>82</v>
      </c>
      <c r="N9" s="10">
        <v>45693</v>
      </c>
      <c r="O9" s="9" t="s">
        <v>22</v>
      </c>
      <c r="P9" s="9">
        <v>4</v>
      </c>
    </row>
    <row r="10" spans="1:16" ht="26.25" x14ac:dyDescent="0.25">
      <c r="A10" s="9">
        <v>154</v>
      </c>
      <c r="B10" s="9" t="s">
        <v>145</v>
      </c>
      <c r="C10" s="9" t="s">
        <v>93</v>
      </c>
      <c r="D10" s="10">
        <v>45693</v>
      </c>
      <c r="E10" s="9" t="s">
        <v>111</v>
      </c>
      <c r="F10" s="9" t="s">
        <v>116</v>
      </c>
      <c r="G10" s="9" t="s">
        <v>20</v>
      </c>
      <c r="H10" s="9" t="s">
        <v>21</v>
      </c>
      <c r="I10" s="8" t="s">
        <v>140</v>
      </c>
      <c r="K10" s="5" t="s">
        <v>141</v>
      </c>
      <c r="L10" s="9" t="s">
        <v>52</v>
      </c>
      <c r="M10" s="9" t="s">
        <v>82</v>
      </c>
      <c r="N10" s="10">
        <v>45693</v>
      </c>
      <c r="O10" s="9" t="s">
        <v>22</v>
      </c>
      <c r="P10" s="9">
        <v>2</v>
      </c>
    </row>
    <row r="11" spans="1:16" ht="30" x14ac:dyDescent="0.25">
      <c r="A11" s="9">
        <v>155</v>
      </c>
      <c r="B11" s="9" t="s">
        <v>146</v>
      </c>
      <c r="C11" s="9" t="s">
        <v>93</v>
      </c>
      <c r="D11" s="10">
        <v>45699</v>
      </c>
      <c r="E11" s="9" t="s">
        <v>147</v>
      </c>
      <c r="F11" s="9" t="s">
        <v>148</v>
      </c>
      <c r="G11" s="9" t="s">
        <v>20</v>
      </c>
      <c r="H11" s="9" t="s">
        <v>21</v>
      </c>
      <c r="I11" s="8" t="s">
        <v>149</v>
      </c>
      <c r="K11" s="8" t="s">
        <v>150</v>
      </c>
      <c r="L11" s="9" t="s">
        <v>52</v>
      </c>
      <c r="M11" s="9" t="s">
        <v>82</v>
      </c>
      <c r="N11" s="10">
        <v>45700</v>
      </c>
      <c r="O11" s="9" t="s">
        <v>22</v>
      </c>
      <c r="P11" s="9">
        <v>3</v>
      </c>
    </row>
    <row r="12" spans="1:16" ht="26.25" x14ac:dyDescent="0.25">
      <c r="A12" s="9">
        <v>156</v>
      </c>
      <c r="B12" s="9" t="s">
        <v>151</v>
      </c>
      <c r="C12" s="9" t="s">
        <v>93</v>
      </c>
      <c r="D12" s="10">
        <v>45705</v>
      </c>
      <c r="E12" s="9" t="s">
        <v>111</v>
      </c>
      <c r="F12" s="9" t="s">
        <v>116</v>
      </c>
      <c r="G12" s="9" t="s">
        <v>20</v>
      </c>
      <c r="H12" s="9" t="s">
        <v>21</v>
      </c>
      <c r="I12" s="8" t="s">
        <v>114</v>
      </c>
      <c r="K12" s="5" t="s">
        <v>152</v>
      </c>
      <c r="L12" s="9" t="s">
        <v>52</v>
      </c>
      <c r="M12" s="9" t="s">
        <v>82</v>
      </c>
      <c r="N12" s="10">
        <v>45707</v>
      </c>
      <c r="O12" s="9" t="s">
        <v>22</v>
      </c>
      <c r="P12" s="9">
        <v>6</v>
      </c>
    </row>
    <row r="13" spans="1:16" ht="135" x14ac:dyDescent="0.25">
      <c r="A13" s="9">
        <v>157</v>
      </c>
      <c r="B13" s="9" t="s">
        <v>153</v>
      </c>
      <c r="C13" s="9" t="s">
        <v>93</v>
      </c>
      <c r="D13" s="10">
        <v>45707</v>
      </c>
      <c r="E13" s="9" t="s">
        <v>27</v>
      </c>
      <c r="F13" s="9" t="s">
        <v>129</v>
      </c>
      <c r="G13" s="9" t="s">
        <v>20</v>
      </c>
      <c r="H13" s="9" t="s">
        <v>21</v>
      </c>
      <c r="I13" s="8" t="s">
        <v>154</v>
      </c>
      <c r="K13" s="8" t="s">
        <v>155</v>
      </c>
      <c r="L13" s="9" t="s">
        <v>52</v>
      </c>
      <c r="M13" s="9" t="s">
        <v>82</v>
      </c>
      <c r="N13" s="10">
        <v>45311</v>
      </c>
      <c r="O13" s="9" t="s">
        <v>22</v>
      </c>
      <c r="P13" s="9">
        <v>3</v>
      </c>
    </row>
    <row r="14" spans="1:16" ht="26.25" x14ac:dyDescent="0.25">
      <c r="A14" s="9">
        <v>158</v>
      </c>
      <c r="B14" s="9" t="s">
        <v>156</v>
      </c>
      <c r="C14" s="9" t="s">
        <v>102</v>
      </c>
      <c r="D14" s="10">
        <v>45718</v>
      </c>
      <c r="E14" s="9" t="s">
        <v>51</v>
      </c>
      <c r="F14" s="9" t="s">
        <v>106</v>
      </c>
      <c r="G14" s="9" t="s">
        <v>20</v>
      </c>
      <c r="H14" s="9" t="s">
        <v>21</v>
      </c>
      <c r="I14" s="8" t="s">
        <v>157</v>
      </c>
      <c r="K14" s="5" t="s">
        <v>158</v>
      </c>
      <c r="L14" s="9" t="s">
        <v>52</v>
      </c>
      <c r="M14" s="9" t="s">
        <v>82</v>
      </c>
      <c r="N14" s="10">
        <v>45718</v>
      </c>
      <c r="O14" s="9" t="s">
        <v>22</v>
      </c>
      <c r="P14" s="9">
        <v>3</v>
      </c>
    </row>
    <row r="15" spans="1:16" x14ac:dyDescent="0.25">
      <c r="A15" s="9">
        <v>159</v>
      </c>
      <c r="B15" s="9" t="s">
        <v>159</v>
      </c>
      <c r="C15" s="9" t="s">
        <v>102</v>
      </c>
      <c r="D15" s="10">
        <v>45726</v>
      </c>
      <c r="E15" s="9" t="s">
        <v>112</v>
      </c>
      <c r="F15" s="9" t="s">
        <v>36</v>
      </c>
      <c r="G15" s="9" t="s">
        <v>20</v>
      </c>
      <c r="H15" s="9" t="s">
        <v>21</v>
      </c>
      <c r="I15" s="8" t="s">
        <v>117</v>
      </c>
      <c r="K15" s="5" t="s">
        <v>160</v>
      </c>
      <c r="L15" s="9" t="s">
        <v>52</v>
      </c>
      <c r="M15" s="9" t="s">
        <v>82</v>
      </c>
      <c r="N15" s="10">
        <v>45726</v>
      </c>
      <c r="O15" s="9" t="s">
        <v>22</v>
      </c>
      <c r="P15" s="9">
        <v>4</v>
      </c>
    </row>
    <row r="16" spans="1:16" ht="30" x14ac:dyDescent="0.25">
      <c r="A16" s="9">
        <v>160</v>
      </c>
      <c r="B16" s="9" t="s">
        <v>161</v>
      </c>
      <c r="C16" s="9" t="s">
        <v>102</v>
      </c>
      <c r="D16" s="10">
        <v>45728</v>
      </c>
      <c r="E16" s="9" t="s">
        <v>136</v>
      </c>
      <c r="F16" s="9" t="s">
        <v>119</v>
      </c>
      <c r="G16" s="9" t="s">
        <v>20</v>
      </c>
      <c r="H16" s="9" t="s">
        <v>21</v>
      </c>
      <c r="I16" s="15" t="s">
        <v>162</v>
      </c>
      <c r="K16" s="8" t="s">
        <v>163</v>
      </c>
      <c r="L16" s="9" t="s">
        <v>52</v>
      </c>
      <c r="M16" s="9" t="s">
        <v>82</v>
      </c>
      <c r="N16" s="10">
        <v>45728</v>
      </c>
      <c r="O16" s="9" t="s">
        <v>22</v>
      </c>
      <c r="P16" s="9">
        <v>2</v>
      </c>
    </row>
    <row r="17" spans="1:16" ht="45" x14ac:dyDescent="0.25">
      <c r="A17" s="9">
        <v>161</v>
      </c>
      <c r="B17" s="9" t="s">
        <v>164</v>
      </c>
      <c r="C17" s="9" t="s">
        <v>102</v>
      </c>
      <c r="D17" s="10">
        <v>45709</v>
      </c>
      <c r="E17" s="9" t="s">
        <v>48</v>
      </c>
      <c r="F17" s="9" t="s">
        <v>71</v>
      </c>
      <c r="G17" s="9" t="s">
        <v>20</v>
      </c>
      <c r="H17" s="9" t="s">
        <v>21</v>
      </c>
      <c r="I17" s="8" t="s">
        <v>165</v>
      </c>
      <c r="K17" s="8" t="s">
        <v>166</v>
      </c>
      <c r="L17" s="9" t="s">
        <v>52</v>
      </c>
      <c r="M17" s="9" t="s">
        <v>82</v>
      </c>
      <c r="N17" s="10">
        <v>45736</v>
      </c>
      <c r="O17" s="9" t="s">
        <v>22</v>
      </c>
      <c r="P17" s="9">
        <v>8</v>
      </c>
    </row>
    <row r="18" spans="1:16" x14ac:dyDescent="0.25">
      <c r="A18" s="9">
        <v>162</v>
      </c>
      <c r="B18" s="9" t="s">
        <v>167</v>
      </c>
      <c r="C18" s="9" t="s">
        <v>102</v>
      </c>
      <c r="D18" s="10">
        <v>45716</v>
      </c>
      <c r="E18" s="9" t="s">
        <v>168</v>
      </c>
      <c r="F18" s="9" t="s">
        <v>32</v>
      </c>
      <c r="G18" s="9" t="s">
        <v>20</v>
      </c>
      <c r="H18" s="9" t="s">
        <v>21</v>
      </c>
      <c r="I18" s="8" t="s">
        <v>169</v>
      </c>
      <c r="K18" s="8" t="s">
        <v>170</v>
      </c>
      <c r="L18" s="9" t="s">
        <v>52</v>
      </c>
      <c r="M18" s="9" t="s">
        <v>82</v>
      </c>
      <c r="N18" s="10">
        <v>45741</v>
      </c>
      <c r="O18" s="9" t="s">
        <v>22</v>
      </c>
      <c r="P18" s="9">
        <v>16</v>
      </c>
    </row>
    <row r="19" spans="1:16" x14ac:dyDescent="0.25">
      <c r="A19" s="9">
        <v>163</v>
      </c>
      <c r="B19" s="9" t="s">
        <v>171</v>
      </c>
      <c r="C19" s="9" t="s">
        <v>102</v>
      </c>
      <c r="D19" s="10">
        <v>45740</v>
      </c>
      <c r="E19" s="9" t="s">
        <v>27</v>
      </c>
      <c r="F19" s="9" t="s">
        <v>129</v>
      </c>
      <c r="G19" s="9" t="s">
        <v>20</v>
      </c>
      <c r="H19" s="9" t="s">
        <v>21</v>
      </c>
      <c r="I19" s="8" t="s">
        <v>172</v>
      </c>
      <c r="K19" s="8" t="s">
        <v>173</v>
      </c>
      <c r="L19" s="9" t="s">
        <v>52</v>
      </c>
      <c r="M19" s="9" t="s">
        <v>82</v>
      </c>
      <c r="N19" s="10">
        <v>45740</v>
      </c>
      <c r="O19" s="9" t="s">
        <v>22</v>
      </c>
      <c r="P19" s="9">
        <v>2</v>
      </c>
    </row>
    <row r="20" spans="1:16" x14ac:dyDescent="0.25">
      <c r="A20" s="9">
        <v>164</v>
      </c>
      <c r="B20" s="9" t="s">
        <v>174</v>
      </c>
      <c r="C20" s="9" t="s">
        <v>102</v>
      </c>
      <c r="D20" s="10">
        <v>45744</v>
      </c>
      <c r="E20" s="9" t="s">
        <v>112</v>
      </c>
      <c r="F20" s="9" t="s">
        <v>36</v>
      </c>
      <c r="G20" s="9" t="s">
        <v>20</v>
      </c>
      <c r="H20" s="9" t="s">
        <v>21</v>
      </c>
      <c r="I20" s="8" t="s">
        <v>117</v>
      </c>
      <c r="K20" s="5" t="s">
        <v>175</v>
      </c>
      <c r="L20" s="9" t="s">
        <v>52</v>
      </c>
      <c r="M20" s="9" t="s">
        <v>82</v>
      </c>
      <c r="N20" s="10">
        <v>45745</v>
      </c>
      <c r="O20" s="9" t="s">
        <v>22</v>
      </c>
      <c r="P20" s="9">
        <v>3</v>
      </c>
    </row>
    <row r="21" spans="1:16" ht="26.25" x14ac:dyDescent="0.25">
      <c r="A21" s="9">
        <v>165</v>
      </c>
      <c r="B21" s="9" t="s">
        <v>176</v>
      </c>
      <c r="C21" s="9" t="s">
        <v>102</v>
      </c>
      <c r="D21" s="10">
        <v>45744</v>
      </c>
      <c r="E21" s="9" t="s">
        <v>51</v>
      </c>
      <c r="F21" s="9" t="s">
        <v>106</v>
      </c>
      <c r="G21" s="9" t="s">
        <v>20</v>
      </c>
      <c r="H21" s="9" t="s">
        <v>21</v>
      </c>
      <c r="I21" s="8" t="s">
        <v>157</v>
      </c>
      <c r="K21" s="5" t="s">
        <v>158</v>
      </c>
      <c r="L21" s="9" t="s">
        <v>52</v>
      </c>
      <c r="M21" s="9" t="s">
        <v>82</v>
      </c>
      <c r="N21" s="10">
        <v>45745</v>
      </c>
      <c r="O21" s="9" t="s">
        <v>22</v>
      </c>
      <c r="P21" s="9">
        <v>3</v>
      </c>
    </row>
    <row r="22" spans="1:16" ht="165" x14ac:dyDescent="0.25">
      <c r="A22" s="9">
        <v>166</v>
      </c>
      <c r="B22" s="9" t="s">
        <v>177</v>
      </c>
      <c r="C22" s="9" t="s">
        <v>102</v>
      </c>
      <c r="D22" s="10">
        <v>45742</v>
      </c>
      <c r="E22" s="9" t="s">
        <v>111</v>
      </c>
      <c r="F22" s="9" t="s">
        <v>116</v>
      </c>
      <c r="G22" s="9" t="s">
        <v>20</v>
      </c>
      <c r="H22" s="9" t="s">
        <v>21</v>
      </c>
      <c r="I22" s="8" t="s">
        <v>178</v>
      </c>
      <c r="K22" s="8" t="s">
        <v>179</v>
      </c>
      <c r="L22" s="9" t="s">
        <v>52</v>
      </c>
      <c r="M22" s="9" t="s">
        <v>82</v>
      </c>
      <c r="N22" s="10">
        <v>45742</v>
      </c>
      <c r="O22" s="9" t="s">
        <v>180</v>
      </c>
      <c r="P22" s="9">
        <v>4</v>
      </c>
    </row>
    <row r="23" spans="1:16" ht="30" x14ac:dyDescent="0.25">
      <c r="A23" s="9">
        <v>167</v>
      </c>
      <c r="B23" s="9" t="s">
        <v>17</v>
      </c>
      <c r="C23" s="9" t="s">
        <v>18</v>
      </c>
      <c r="D23" s="10">
        <v>45748</v>
      </c>
      <c r="E23" s="9" t="s">
        <v>110</v>
      </c>
      <c r="F23" s="9" t="s">
        <v>106</v>
      </c>
      <c r="G23" s="9" t="s">
        <v>20</v>
      </c>
      <c r="H23" s="9" t="s">
        <v>21</v>
      </c>
      <c r="I23" s="8" t="s">
        <v>133</v>
      </c>
      <c r="K23" s="8" t="s">
        <v>181</v>
      </c>
      <c r="L23" s="9" t="s">
        <v>52</v>
      </c>
      <c r="M23" s="9" t="s">
        <v>82</v>
      </c>
      <c r="N23" s="10">
        <v>45748</v>
      </c>
      <c r="O23" s="9" t="s">
        <v>22</v>
      </c>
      <c r="P23" s="9">
        <v>2</v>
      </c>
    </row>
    <row r="24" spans="1:16" ht="60" x14ac:dyDescent="0.25">
      <c r="A24" s="9">
        <v>168</v>
      </c>
      <c r="B24" s="9" t="s">
        <v>23</v>
      </c>
      <c r="C24" s="9" t="s">
        <v>18</v>
      </c>
      <c r="D24" s="10">
        <v>45749</v>
      </c>
      <c r="E24" s="9" t="s">
        <v>182</v>
      </c>
      <c r="F24" s="9" t="s">
        <v>32</v>
      </c>
      <c r="G24" s="9" t="s">
        <v>20</v>
      </c>
      <c r="H24" s="9" t="s">
        <v>33</v>
      </c>
      <c r="I24" s="16" t="s">
        <v>183</v>
      </c>
      <c r="K24" s="8" t="s">
        <v>184</v>
      </c>
      <c r="L24" s="9" t="s">
        <v>52</v>
      </c>
      <c r="M24" s="9" t="s">
        <v>82</v>
      </c>
      <c r="N24" s="10">
        <v>45777</v>
      </c>
      <c r="O24" s="9" t="s">
        <v>22</v>
      </c>
      <c r="P24" s="9">
        <v>16</v>
      </c>
    </row>
    <row r="25" spans="1:16" ht="21" customHeight="1" x14ac:dyDescent="0.25">
      <c r="A25" s="9">
        <v>169</v>
      </c>
      <c r="B25" s="9" t="s">
        <v>26</v>
      </c>
      <c r="C25" s="9" t="s">
        <v>18</v>
      </c>
      <c r="D25" s="10">
        <v>45749</v>
      </c>
      <c r="E25" s="9" t="s">
        <v>182</v>
      </c>
      <c r="F25" s="9" t="s">
        <v>32</v>
      </c>
      <c r="G25" s="9" t="s">
        <v>20</v>
      </c>
      <c r="H25" s="9" t="s">
        <v>21</v>
      </c>
      <c r="I25" s="17" t="s">
        <v>185</v>
      </c>
      <c r="K25" s="8" t="s">
        <v>186</v>
      </c>
      <c r="L25" s="9" t="s">
        <v>52</v>
      </c>
      <c r="M25" s="9" t="s">
        <v>82</v>
      </c>
      <c r="N25" s="10">
        <v>45750</v>
      </c>
      <c r="O25" s="9" t="s">
        <v>22</v>
      </c>
      <c r="P25" s="9">
        <v>2</v>
      </c>
    </row>
    <row r="26" spans="1:16" ht="315" x14ac:dyDescent="0.25">
      <c r="A26" s="9">
        <v>170</v>
      </c>
      <c r="B26" s="9" t="s">
        <v>28</v>
      </c>
      <c r="C26" s="9" t="s">
        <v>18</v>
      </c>
      <c r="D26" s="10">
        <v>45758</v>
      </c>
      <c r="E26" s="9" t="s">
        <v>182</v>
      </c>
      <c r="F26" s="9" t="s">
        <v>32</v>
      </c>
      <c r="G26" s="9" t="s">
        <v>20</v>
      </c>
      <c r="H26" s="9" t="s">
        <v>21</v>
      </c>
      <c r="I26" s="8" t="s">
        <v>187</v>
      </c>
      <c r="K26" s="8" t="s">
        <v>188</v>
      </c>
      <c r="L26" s="9" t="s">
        <v>52</v>
      </c>
      <c r="M26" s="9" t="s">
        <v>82</v>
      </c>
      <c r="N26" s="10">
        <v>45777</v>
      </c>
      <c r="O26" s="9" t="s">
        <v>22</v>
      </c>
      <c r="P26" s="9">
        <v>12</v>
      </c>
    </row>
    <row r="27" spans="1:16" x14ac:dyDescent="0.25">
      <c r="A27" s="9">
        <v>171</v>
      </c>
      <c r="B27" s="9" t="s">
        <v>29</v>
      </c>
      <c r="C27" s="9" t="s">
        <v>18</v>
      </c>
      <c r="D27" s="10">
        <v>45760</v>
      </c>
      <c r="E27" s="9" t="s">
        <v>24</v>
      </c>
      <c r="F27" s="9" t="s">
        <v>25</v>
      </c>
      <c r="G27" s="9" t="s">
        <v>20</v>
      </c>
      <c r="H27" s="9" t="s">
        <v>21</v>
      </c>
      <c r="I27" s="8" t="s">
        <v>189</v>
      </c>
      <c r="K27" s="8" t="s">
        <v>190</v>
      </c>
      <c r="L27" s="9" t="s">
        <v>52</v>
      </c>
      <c r="M27" s="9" t="s">
        <v>82</v>
      </c>
      <c r="N27" s="10">
        <v>45760</v>
      </c>
      <c r="O27" s="9" t="s">
        <v>22</v>
      </c>
      <c r="P27" s="9">
        <v>2</v>
      </c>
    </row>
    <row r="28" spans="1:16" ht="75" x14ac:dyDescent="0.25">
      <c r="A28" s="9">
        <v>172</v>
      </c>
      <c r="B28" s="9" t="s">
        <v>30</v>
      </c>
      <c r="C28" s="9" t="s">
        <v>18</v>
      </c>
      <c r="D28" s="10">
        <v>45763</v>
      </c>
      <c r="E28" s="9" t="s">
        <v>27</v>
      </c>
      <c r="F28" s="9" t="s">
        <v>129</v>
      </c>
      <c r="G28" s="9" t="s">
        <v>20</v>
      </c>
      <c r="H28" s="9" t="s">
        <v>33</v>
      </c>
      <c r="I28" s="8" t="s">
        <v>191</v>
      </c>
      <c r="K28" s="8" t="s">
        <v>192</v>
      </c>
      <c r="L28" s="9" t="s">
        <v>52</v>
      </c>
      <c r="M28" s="9" t="s">
        <v>82</v>
      </c>
      <c r="N28" s="10">
        <v>45785</v>
      </c>
      <c r="O28" s="9" t="s">
        <v>22</v>
      </c>
      <c r="P28" s="9">
        <v>12</v>
      </c>
    </row>
    <row r="29" spans="1:16" ht="45" x14ac:dyDescent="0.25">
      <c r="A29" s="9">
        <v>173</v>
      </c>
      <c r="B29" s="9" t="s">
        <v>31</v>
      </c>
      <c r="C29" s="9" t="s">
        <v>18</v>
      </c>
      <c r="D29" s="10">
        <v>45709</v>
      </c>
      <c r="E29" s="9" t="s">
        <v>48</v>
      </c>
      <c r="F29" s="9" t="s">
        <v>193</v>
      </c>
      <c r="G29" s="9" t="s">
        <v>20</v>
      </c>
      <c r="H29" s="9" t="s">
        <v>33</v>
      </c>
      <c r="I29" s="8" t="s">
        <v>194</v>
      </c>
      <c r="K29" s="8" t="s">
        <v>195</v>
      </c>
      <c r="L29" s="9" t="s">
        <v>52</v>
      </c>
      <c r="M29" s="9" t="s">
        <v>82</v>
      </c>
      <c r="N29" s="10">
        <v>45769</v>
      </c>
      <c r="O29" s="9" t="s">
        <v>22</v>
      </c>
      <c r="P29" s="9">
        <v>12</v>
      </c>
    </row>
    <row r="30" spans="1:16" x14ac:dyDescent="0.25">
      <c r="A30" s="9">
        <v>174</v>
      </c>
      <c r="B30" s="9" t="s">
        <v>34</v>
      </c>
      <c r="C30" s="9" t="s">
        <v>18</v>
      </c>
      <c r="D30" s="10">
        <v>45770</v>
      </c>
      <c r="E30" s="9" t="s">
        <v>37</v>
      </c>
      <c r="F30" s="18" t="s">
        <v>196</v>
      </c>
      <c r="G30" s="9" t="s">
        <v>20</v>
      </c>
      <c r="H30" s="9" t="s">
        <v>21</v>
      </c>
      <c r="I30" s="8" t="s">
        <v>197</v>
      </c>
      <c r="K30" s="8" t="s">
        <v>198</v>
      </c>
      <c r="L30" s="9" t="s">
        <v>52</v>
      </c>
      <c r="M30" s="9" t="s">
        <v>82</v>
      </c>
      <c r="N30" s="10">
        <v>45770</v>
      </c>
      <c r="O30" s="9" t="s">
        <v>22</v>
      </c>
      <c r="P30" s="9">
        <v>2</v>
      </c>
    </row>
    <row r="31" spans="1:16" ht="60" x14ac:dyDescent="0.25">
      <c r="A31" s="9">
        <v>175</v>
      </c>
      <c r="B31" s="9" t="s">
        <v>35</v>
      </c>
      <c r="C31" s="9" t="s">
        <v>18</v>
      </c>
      <c r="D31" s="10">
        <v>45772</v>
      </c>
      <c r="E31" s="9" t="s">
        <v>37</v>
      </c>
      <c r="F31" s="18" t="s">
        <v>196</v>
      </c>
      <c r="G31" s="9" t="s">
        <v>20</v>
      </c>
      <c r="H31" s="9" t="s">
        <v>21</v>
      </c>
      <c r="I31" s="8" t="s">
        <v>199</v>
      </c>
      <c r="K31" s="8" t="s">
        <v>200</v>
      </c>
      <c r="L31" s="9" t="s">
        <v>52</v>
      </c>
      <c r="M31" s="9" t="s">
        <v>82</v>
      </c>
      <c r="N31" s="10">
        <v>45787</v>
      </c>
      <c r="O31" s="9" t="s">
        <v>22</v>
      </c>
      <c r="P31" s="9">
        <v>6</v>
      </c>
    </row>
    <row r="32" spans="1:16" ht="45" x14ac:dyDescent="0.25">
      <c r="A32" s="9">
        <v>176</v>
      </c>
      <c r="B32" s="9" t="s">
        <v>38</v>
      </c>
      <c r="C32" s="9" t="s">
        <v>39</v>
      </c>
      <c r="D32" s="10">
        <v>45784</v>
      </c>
      <c r="E32" s="9" t="s">
        <v>27</v>
      </c>
      <c r="F32" s="9" t="s">
        <v>84</v>
      </c>
      <c r="G32" s="9" t="s">
        <v>20</v>
      </c>
      <c r="H32" s="9" t="s">
        <v>21</v>
      </c>
      <c r="I32" s="8" t="s">
        <v>201</v>
      </c>
      <c r="K32" s="8" t="s">
        <v>202</v>
      </c>
      <c r="L32" s="9" t="s">
        <v>52</v>
      </c>
      <c r="M32" s="9" t="s">
        <v>82</v>
      </c>
      <c r="N32" s="10">
        <v>45784</v>
      </c>
      <c r="O32" s="9" t="s">
        <v>22</v>
      </c>
      <c r="P32" s="9">
        <v>4</v>
      </c>
    </row>
    <row r="33" spans="1:16" ht="30" x14ac:dyDescent="0.25">
      <c r="A33" s="9">
        <v>177</v>
      </c>
      <c r="B33" s="9" t="s">
        <v>40</v>
      </c>
      <c r="C33" s="9" t="s">
        <v>39</v>
      </c>
      <c r="D33" s="10">
        <v>45786</v>
      </c>
      <c r="E33" s="9" t="s">
        <v>112</v>
      </c>
      <c r="F33" s="9" t="s">
        <v>36</v>
      </c>
      <c r="G33" s="9" t="s">
        <v>20</v>
      </c>
      <c r="H33" s="9" t="s">
        <v>21</v>
      </c>
      <c r="I33" s="8" t="s">
        <v>99</v>
      </c>
      <c r="K33" s="8" t="s">
        <v>203</v>
      </c>
      <c r="L33" s="9" t="s">
        <v>52</v>
      </c>
      <c r="M33" s="9" t="s">
        <v>82</v>
      </c>
      <c r="N33" s="10">
        <v>45786</v>
      </c>
      <c r="O33" s="9" t="s">
        <v>22</v>
      </c>
      <c r="P33" s="9">
        <v>2</v>
      </c>
    </row>
    <row r="34" spans="1:16" ht="26.25" x14ac:dyDescent="0.25">
      <c r="A34" s="9">
        <v>178</v>
      </c>
      <c r="B34" s="9" t="s">
        <v>41</v>
      </c>
      <c r="C34" s="9" t="s">
        <v>39</v>
      </c>
      <c r="D34" s="10">
        <v>45790</v>
      </c>
      <c r="E34" s="9" t="s">
        <v>111</v>
      </c>
      <c r="F34" s="9" t="s">
        <v>116</v>
      </c>
      <c r="G34" s="9" t="s">
        <v>20</v>
      </c>
      <c r="H34" s="9" t="s">
        <v>21</v>
      </c>
      <c r="I34" s="8" t="s">
        <v>140</v>
      </c>
      <c r="K34" s="5" t="s">
        <v>163</v>
      </c>
      <c r="L34" s="9" t="s">
        <v>52</v>
      </c>
      <c r="M34" s="9" t="s">
        <v>82</v>
      </c>
      <c r="N34" s="10">
        <v>45790</v>
      </c>
      <c r="O34" s="9" t="s">
        <v>22</v>
      </c>
      <c r="P34" s="9">
        <v>2</v>
      </c>
    </row>
    <row r="35" spans="1:16" x14ac:dyDescent="0.25">
      <c r="A35" s="9">
        <v>179</v>
      </c>
      <c r="B35" s="9" t="s">
        <v>42</v>
      </c>
      <c r="C35" s="9" t="s">
        <v>39</v>
      </c>
      <c r="D35" s="10">
        <v>45790</v>
      </c>
      <c r="E35" s="9" t="s">
        <v>112</v>
      </c>
      <c r="F35" s="9" t="s">
        <v>36</v>
      </c>
      <c r="G35" s="9" t="s">
        <v>20</v>
      </c>
      <c r="H35" s="9" t="s">
        <v>21</v>
      </c>
      <c r="I35" s="9" t="s">
        <v>204</v>
      </c>
      <c r="K35" s="8" t="s">
        <v>81</v>
      </c>
      <c r="L35" s="9" t="s">
        <v>52</v>
      </c>
      <c r="M35" s="9" t="s">
        <v>82</v>
      </c>
      <c r="N35" s="10">
        <v>45790</v>
      </c>
      <c r="O35" s="9" t="s">
        <v>22</v>
      </c>
      <c r="P35" s="9">
        <v>2</v>
      </c>
    </row>
    <row r="36" spans="1:16" ht="30" x14ac:dyDescent="0.25">
      <c r="A36" s="9">
        <v>180</v>
      </c>
      <c r="B36" s="9" t="s">
        <v>43</v>
      </c>
      <c r="C36" s="9" t="s">
        <v>39</v>
      </c>
      <c r="D36" s="10">
        <v>45790</v>
      </c>
      <c r="E36" s="9" t="s">
        <v>111</v>
      </c>
      <c r="F36" s="9" t="s">
        <v>116</v>
      </c>
      <c r="G36" s="9" t="s">
        <v>20</v>
      </c>
      <c r="H36" s="9" t="s">
        <v>21</v>
      </c>
      <c r="I36" s="9" t="s">
        <v>205</v>
      </c>
      <c r="K36" s="8" t="s">
        <v>206</v>
      </c>
      <c r="L36" s="9" t="s">
        <v>52</v>
      </c>
      <c r="M36" s="9" t="s">
        <v>82</v>
      </c>
      <c r="N36" s="10">
        <v>45790</v>
      </c>
      <c r="O36" s="9" t="s">
        <v>22</v>
      </c>
      <c r="P36" s="9">
        <v>2</v>
      </c>
    </row>
    <row r="37" spans="1:16" ht="60" x14ac:dyDescent="0.25">
      <c r="A37" s="9">
        <v>181</v>
      </c>
      <c r="B37" s="9" t="s">
        <v>207</v>
      </c>
      <c r="C37" s="9" t="s">
        <v>39</v>
      </c>
      <c r="D37" s="10">
        <v>45796</v>
      </c>
      <c r="E37" s="9" t="s">
        <v>111</v>
      </c>
      <c r="F37" s="9" t="s">
        <v>116</v>
      </c>
      <c r="G37" s="9" t="s">
        <v>20</v>
      </c>
      <c r="H37" s="9" t="s">
        <v>21</v>
      </c>
      <c r="I37" s="8" t="s">
        <v>208</v>
      </c>
      <c r="K37" s="8" t="s">
        <v>209</v>
      </c>
      <c r="L37" s="9" t="s">
        <v>52</v>
      </c>
      <c r="M37" s="9" t="s">
        <v>82</v>
      </c>
      <c r="N37" s="10">
        <v>45797</v>
      </c>
      <c r="O37" s="9" t="s">
        <v>22</v>
      </c>
      <c r="P37" s="9">
        <v>4</v>
      </c>
    </row>
    <row r="38" spans="1:16" ht="30" x14ac:dyDescent="0.25">
      <c r="A38" s="9">
        <v>182</v>
      </c>
      <c r="B38" s="9" t="s">
        <v>210</v>
      </c>
      <c r="C38" s="9" t="s">
        <v>39</v>
      </c>
      <c r="D38" s="10">
        <v>45770</v>
      </c>
      <c r="E38" s="9" t="s">
        <v>136</v>
      </c>
      <c r="F38" s="9" t="s">
        <v>211</v>
      </c>
      <c r="G38" s="9" t="s">
        <v>20</v>
      </c>
      <c r="H38" s="9" t="s">
        <v>21</v>
      </c>
      <c r="I38" s="8" t="s">
        <v>212</v>
      </c>
      <c r="K38" s="8" t="s">
        <v>213</v>
      </c>
      <c r="L38" s="9" t="s">
        <v>52</v>
      </c>
      <c r="M38" s="9" t="s">
        <v>82</v>
      </c>
      <c r="N38" s="10">
        <v>45792</v>
      </c>
      <c r="O38" s="9" t="s">
        <v>22</v>
      </c>
      <c r="P38" s="9">
        <v>4</v>
      </c>
    </row>
    <row r="39" spans="1:16" ht="30" x14ac:dyDescent="0.25">
      <c r="A39" s="9">
        <v>183</v>
      </c>
      <c r="B39" s="9" t="s">
        <v>44</v>
      </c>
      <c r="C39" s="9" t="s">
        <v>214</v>
      </c>
      <c r="D39" s="10">
        <v>45832</v>
      </c>
      <c r="E39" s="9" t="s">
        <v>215</v>
      </c>
      <c r="F39" s="9" t="s">
        <v>71</v>
      </c>
      <c r="G39" s="9" t="s">
        <v>20</v>
      </c>
      <c r="H39" s="9" t="s">
        <v>21</v>
      </c>
      <c r="I39" s="8" t="s">
        <v>216</v>
      </c>
      <c r="K39" s="8" t="s">
        <v>217</v>
      </c>
      <c r="L39" s="9" t="s">
        <v>52</v>
      </c>
      <c r="M39" s="9" t="s">
        <v>82</v>
      </c>
      <c r="N39" s="10">
        <v>45832</v>
      </c>
      <c r="O39" s="9" t="s">
        <v>22</v>
      </c>
      <c r="P39" s="9">
        <v>2</v>
      </c>
    </row>
    <row r="40" spans="1:16" ht="30" x14ac:dyDescent="0.25">
      <c r="A40" s="9">
        <v>184</v>
      </c>
      <c r="B40" s="9" t="s">
        <v>45</v>
      </c>
      <c r="C40" s="9" t="s">
        <v>214</v>
      </c>
      <c r="D40" s="10">
        <v>45835</v>
      </c>
      <c r="E40" s="9" t="s">
        <v>218</v>
      </c>
      <c r="F40" s="9" t="s">
        <v>32</v>
      </c>
      <c r="G40" s="9" t="s">
        <v>20</v>
      </c>
      <c r="H40" s="9" t="s">
        <v>21</v>
      </c>
      <c r="I40" s="8" t="s">
        <v>120</v>
      </c>
      <c r="K40" s="8" t="s">
        <v>219</v>
      </c>
      <c r="L40" s="9" t="s">
        <v>52</v>
      </c>
      <c r="M40" s="9" t="s">
        <v>82</v>
      </c>
      <c r="N40" s="10">
        <v>45836</v>
      </c>
      <c r="O40" s="9" t="s">
        <v>22</v>
      </c>
      <c r="P40" s="9">
        <v>2</v>
      </c>
    </row>
    <row r="41" spans="1:16" ht="30" x14ac:dyDescent="0.25">
      <c r="A41" s="9">
        <v>185</v>
      </c>
      <c r="B41" s="9" t="s">
        <v>220</v>
      </c>
      <c r="C41" s="9" t="s">
        <v>50</v>
      </c>
      <c r="D41" s="10">
        <v>45846</v>
      </c>
      <c r="E41" s="9" t="s">
        <v>27</v>
      </c>
      <c r="F41" s="9" t="s">
        <v>221</v>
      </c>
      <c r="G41" s="9" t="s">
        <v>20</v>
      </c>
      <c r="H41" s="9" t="s">
        <v>21</v>
      </c>
      <c r="I41" s="8" t="s">
        <v>222</v>
      </c>
      <c r="K41" s="8" t="s">
        <v>223</v>
      </c>
      <c r="L41" s="9" t="s">
        <v>52</v>
      </c>
      <c r="M41" s="9" t="s">
        <v>82</v>
      </c>
      <c r="N41" s="10">
        <v>45847</v>
      </c>
      <c r="O41" s="9" t="s">
        <v>22</v>
      </c>
      <c r="P41" s="9">
        <v>2</v>
      </c>
    </row>
    <row r="42" spans="1:16" x14ac:dyDescent="0.25">
      <c r="A42" s="9">
        <v>186</v>
      </c>
      <c r="B42" s="9" t="s">
        <v>224</v>
      </c>
      <c r="C42" s="9" t="s">
        <v>50</v>
      </c>
      <c r="D42" s="10">
        <v>45848</v>
      </c>
      <c r="E42" s="9" t="s">
        <v>225</v>
      </c>
      <c r="F42" s="9" t="s">
        <v>25</v>
      </c>
      <c r="G42" s="9" t="s">
        <v>20</v>
      </c>
      <c r="H42" s="9" t="s">
        <v>21</v>
      </c>
      <c r="I42" s="8" t="s">
        <v>226</v>
      </c>
      <c r="K42" s="8" t="s">
        <v>227</v>
      </c>
      <c r="L42" s="9" t="s">
        <v>52</v>
      </c>
      <c r="M42" s="9" t="s">
        <v>82</v>
      </c>
      <c r="N42" s="10">
        <v>45852</v>
      </c>
      <c r="O42" s="9" t="s">
        <v>22</v>
      </c>
      <c r="P42" s="9">
        <v>16</v>
      </c>
    </row>
    <row r="43" spans="1:16" ht="30.75" x14ac:dyDescent="0.3">
      <c r="A43" s="9">
        <v>187</v>
      </c>
      <c r="B43" s="9" t="s">
        <v>228</v>
      </c>
      <c r="C43" s="9" t="s">
        <v>50</v>
      </c>
      <c r="D43" s="10">
        <v>45853</v>
      </c>
      <c r="E43" s="9" t="s">
        <v>225</v>
      </c>
      <c r="F43" s="9" t="s">
        <v>25</v>
      </c>
      <c r="G43" s="9" t="s">
        <v>20</v>
      </c>
      <c r="H43" s="9" t="s">
        <v>21</v>
      </c>
      <c r="I43" s="19" t="s">
        <v>229</v>
      </c>
      <c r="K43" s="8" t="s">
        <v>230</v>
      </c>
      <c r="L43" s="9" t="s">
        <v>52</v>
      </c>
      <c r="M43" s="9" t="s">
        <v>82</v>
      </c>
      <c r="N43" s="10">
        <v>45853</v>
      </c>
      <c r="O43" s="9" t="s">
        <v>22</v>
      </c>
      <c r="P43" s="9">
        <v>4</v>
      </c>
    </row>
    <row r="44" spans="1:16" ht="105" x14ac:dyDescent="0.25">
      <c r="A44" s="9">
        <v>188</v>
      </c>
      <c r="B44" s="9" t="s">
        <v>231</v>
      </c>
      <c r="C44" s="9" t="s">
        <v>50</v>
      </c>
      <c r="D44" s="10">
        <v>45853</v>
      </c>
      <c r="E44" s="9" t="s">
        <v>225</v>
      </c>
      <c r="F44" s="9" t="s">
        <v>25</v>
      </c>
      <c r="G44" s="9" t="s">
        <v>20</v>
      </c>
      <c r="H44" s="9" t="s">
        <v>21</v>
      </c>
      <c r="I44" s="8" t="s">
        <v>232</v>
      </c>
      <c r="K44" s="8" t="s">
        <v>233</v>
      </c>
      <c r="L44" s="9" t="s">
        <v>52</v>
      </c>
      <c r="M44" s="9" t="s">
        <v>82</v>
      </c>
      <c r="N44" s="10">
        <v>45854</v>
      </c>
      <c r="O44" s="9" t="s">
        <v>22</v>
      </c>
      <c r="P44" s="9">
        <v>6</v>
      </c>
    </row>
    <row r="45" spans="1:16" ht="45" x14ac:dyDescent="0.25">
      <c r="A45" s="9">
        <v>189</v>
      </c>
      <c r="B45" s="9" t="s">
        <v>234</v>
      </c>
      <c r="C45" s="9" t="s">
        <v>50</v>
      </c>
      <c r="D45" s="10">
        <v>45853</v>
      </c>
      <c r="E45" s="9" t="s">
        <v>235</v>
      </c>
      <c r="F45" s="9" t="s">
        <v>32</v>
      </c>
      <c r="G45" s="9" t="s">
        <v>20</v>
      </c>
      <c r="H45" s="9" t="s">
        <v>21</v>
      </c>
      <c r="I45" s="17" t="s">
        <v>236</v>
      </c>
      <c r="K45" s="8" t="s">
        <v>237</v>
      </c>
      <c r="L45" s="9" t="s">
        <v>52</v>
      </c>
      <c r="M45" s="9" t="s">
        <v>82</v>
      </c>
      <c r="N45" s="10">
        <v>45854</v>
      </c>
      <c r="O45" s="9" t="s">
        <v>22</v>
      </c>
      <c r="P45" s="9">
        <v>4</v>
      </c>
    </row>
    <row r="46" spans="1:16" ht="26.25" x14ac:dyDescent="0.25">
      <c r="A46" s="9">
        <v>190</v>
      </c>
      <c r="B46" s="9" t="s">
        <v>238</v>
      </c>
      <c r="C46" s="9" t="s">
        <v>50</v>
      </c>
      <c r="D46" s="10">
        <v>45855</v>
      </c>
      <c r="E46" s="9" t="s">
        <v>112</v>
      </c>
      <c r="F46" s="9" t="s">
        <v>36</v>
      </c>
      <c r="G46" s="9" t="s">
        <v>20</v>
      </c>
      <c r="H46" s="9" t="s">
        <v>21</v>
      </c>
      <c r="I46" s="20" t="s">
        <v>239</v>
      </c>
      <c r="K46" s="21" t="s">
        <v>240</v>
      </c>
      <c r="L46" s="9" t="s">
        <v>52</v>
      </c>
      <c r="M46" s="9" t="s">
        <v>82</v>
      </c>
      <c r="N46" s="10">
        <v>45855</v>
      </c>
      <c r="O46" s="9" t="s">
        <v>22</v>
      </c>
      <c r="P46" s="9">
        <v>2</v>
      </c>
    </row>
    <row r="47" spans="1:16" ht="31.5" x14ac:dyDescent="0.25">
      <c r="A47" s="9">
        <v>191</v>
      </c>
      <c r="B47" s="9" t="s">
        <v>241</v>
      </c>
      <c r="C47" s="9" t="s">
        <v>50</v>
      </c>
      <c r="D47" s="10">
        <v>45860</v>
      </c>
      <c r="E47" s="9" t="s">
        <v>242</v>
      </c>
      <c r="F47" s="9" t="s">
        <v>243</v>
      </c>
      <c r="G47" s="9" t="s">
        <v>20</v>
      </c>
      <c r="H47" s="9" t="s">
        <v>21</v>
      </c>
      <c r="I47" s="22" t="s">
        <v>244</v>
      </c>
      <c r="K47" s="8" t="s">
        <v>223</v>
      </c>
      <c r="L47" s="9" t="s">
        <v>52</v>
      </c>
      <c r="M47" s="9" t="s">
        <v>82</v>
      </c>
      <c r="N47" s="10">
        <v>45861</v>
      </c>
      <c r="O47" s="9" t="s">
        <v>22</v>
      </c>
      <c r="P47" s="9">
        <v>4</v>
      </c>
    </row>
    <row r="48" spans="1:16" ht="30" x14ac:dyDescent="0.25">
      <c r="A48" s="9">
        <v>192</v>
      </c>
      <c r="B48" s="9" t="s">
        <v>245</v>
      </c>
      <c r="C48" s="9" t="s">
        <v>50</v>
      </c>
      <c r="D48" s="10">
        <v>45861</v>
      </c>
      <c r="E48" s="9" t="s">
        <v>112</v>
      </c>
      <c r="F48" s="9" t="s">
        <v>36</v>
      </c>
      <c r="G48" s="9" t="s">
        <v>20</v>
      </c>
      <c r="H48" s="9" t="s">
        <v>21</v>
      </c>
      <c r="I48" s="8" t="s">
        <v>246</v>
      </c>
      <c r="K48" s="8" t="s">
        <v>247</v>
      </c>
      <c r="L48" s="9" t="s">
        <v>52</v>
      </c>
      <c r="M48" s="9" t="s">
        <v>82</v>
      </c>
      <c r="N48" s="10">
        <v>45869</v>
      </c>
      <c r="O48" s="9" t="s">
        <v>22</v>
      </c>
      <c r="P48" s="9">
        <v>2</v>
      </c>
    </row>
    <row r="49" spans="1:16" x14ac:dyDescent="0.25">
      <c r="A49" s="9">
        <v>193</v>
      </c>
      <c r="B49" s="9" t="s">
        <v>57</v>
      </c>
      <c r="C49" s="9" t="s">
        <v>58</v>
      </c>
      <c r="D49" s="10">
        <v>45877</v>
      </c>
      <c r="E49" s="9" t="s">
        <v>112</v>
      </c>
      <c r="F49" s="9" t="s">
        <v>36</v>
      </c>
      <c r="G49" s="9" t="s">
        <v>20</v>
      </c>
      <c r="H49" s="9" t="s">
        <v>21</v>
      </c>
      <c r="I49" s="8" t="s">
        <v>248</v>
      </c>
      <c r="K49" s="8" t="s">
        <v>249</v>
      </c>
      <c r="L49" s="9" t="s">
        <v>52</v>
      </c>
      <c r="M49" s="9" t="s">
        <v>82</v>
      </c>
      <c r="N49" s="10">
        <v>45877</v>
      </c>
      <c r="O49" s="9" t="s">
        <v>22</v>
      </c>
      <c r="P49" s="9">
        <v>4</v>
      </c>
    </row>
    <row r="50" spans="1:16" ht="45" x14ac:dyDescent="0.25">
      <c r="A50" s="9">
        <v>194</v>
      </c>
      <c r="B50" s="9" t="s">
        <v>59</v>
      </c>
      <c r="C50" s="9" t="s">
        <v>58</v>
      </c>
      <c r="D50" s="10">
        <v>45881</v>
      </c>
      <c r="E50" s="9" t="s">
        <v>112</v>
      </c>
      <c r="F50" s="9" t="s">
        <v>36</v>
      </c>
      <c r="G50" s="9" t="s">
        <v>20</v>
      </c>
      <c r="H50" s="9" t="s">
        <v>21</v>
      </c>
      <c r="I50" s="8" t="s">
        <v>250</v>
      </c>
      <c r="K50" s="8" t="s">
        <v>251</v>
      </c>
      <c r="L50" s="9" t="s">
        <v>52</v>
      </c>
      <c r="M50" s="9" t="s">
        <v>82</v>
      </c>
      <c r="N50" s="10">
        <v>45887</v>
      </c>
      <c r="O50" s="9" t="s">
        <v>22</v>
      </c>
      <c r="P50" s="9">
        <v>10</v>
      </c>
    </row>
    <row r="51" spans="1:16" ht="30.75" x14ac:dyDescent="0.3">
      <c r="A51" s="9">
        <v>195</v>
      </c>
      <c r="B51" s="9" t="s">
        <v>60</v>
      </c>
      <c r="C51" s="9" t="s">
        <v>58</v>
      </c>
      <c r="D51" s="10">
        <v>45887</v>
      </c>
      <c r="E51" s="9" t="s">
        <v>225</v>
      </c>
      <c r="F51" s="9" t="s">
        <v>25</v>
      </c>
      <c r="G51" s="9" t="s">
        <v>20</v>
      </c>
      <c r="H51" s="9" t="s">
        <v>21</v>
      </c>
      <c r="I51" s="19" t="s">
        <v>252</v>
      </c>
      <c r="K51" s="8" t="s">
        <v>253</v>
      </c>
      <c r="L51" s="9" t="s">
        <v>52</v>
      </c>
      <c r="M51" s="9" t="s">
        <v>82</v>
      </c>
      <c r="N51" s="10">
        <v>45887</v>
      </c>
      <c r="O51" s="9" t="s">
        <v>22</v>
      </c>
      <c r="P51" s="9">
        <v>2</v>
      </c>
    </row>
    <row r="52" spans="1:16" ht="45" x14ac:dyDescent="0.25">
      <c r="A52" s="9">
        <v>196</v>
      </c>
      <c r="B52" s="9" t="s">
        <v>61</v>
      </c>
      <c r="C52" s="9" t="s">
        <v>58</v>
      </c>
      <c r="D52" s="10">
        <v>45889</v>
      </c>
      <c r="E52" s="9" t="s">
        <v>111</v>
      </c>
      <c r="F52" s="9" t="s">
        <v>91</v>
      </c>
      <c r="G52" s="9" t="s">
        <v>20</v>
      </c>
      <c r="H52" s="9" t="s">
        <v>21</v>
      </c>
      <c r="I52" s="8" t="s">
        <v>254</v>
      </c>
      <c r="K52" s="8" t="s">
        <v>255</v>
      </c>
      <c r="L52" s="9" t="s">
        <v>52</v>
      </c>
      <c r="M52" s="9" t="s">
        <v>82</v>
      </c>
      <c r="N52" s="10">
        <v>45889</v>
      </c>
      <c r="O52" s="9" t="s">
        <v>22</v>
      </c>
      <c r="P52" s="9">
        <v>2</v>
      </c>
    </row>
    <row r="53" spans="1:16" ht="30" x14ac:dyDescent="0.25">
      <c r="A53" s="9">
        <v>197</v>
      </c>
      <c r="B53" s="9" t="s">
        <v>62</v>
      </c>
      <c r="C53" s="9" t="s">
        <v>58</v>
      </c>
      <c r="D53" s="10">
        <v>45889</v>
      </c>
      <c r="E53" s="9" t="s">
        <v>27</v>
      </c>
      <c r="F53" s="9" t="s">
        <v>84</v>
      </c>
      <c r="G53" s="9" t="s">
        <v>20</v>
      </c>
      <c r="H53" s="9" t="s">
        <v>21</v>
      </c>
      <c r="I53" s="8" t="s">
        <v>256</v>
      </c>
      <c r="K53" s="8" t="s">
        <v>253</v>
      </c>
      <c r="L53" s="9" t="s">
        <v>52</v>
      </c>
      <c r="M53" s="9" t="s">
        <v>257</v>
      </c>
      <c r="N53" s="10">
        <v>45890</v>
      </c>
      <c r="O53" s="9" t="s">
        <v>22</v>
      </c>
      <c r="P53" s="9">
        <v>2</v>
      </c>
    </row>
    <row r="54" spans="1:16" ht="26.25" x14ac:dyDescent="0.25">
      <c r="A54" s="9">
        <v>198</v>
      </c>
      <c r="B54" s="9" t="s">
        <v>63</v>
      </c>
      <c r="C54" s="9" t="s">
        <v>58</v>
      </c>
      <c r="D54" s="10">
        <v>45892</v>
      </c>
      <c r="E54" s="9" t="s">
        <v>168</v>
      </c>
      <c r="F54" s="9" t="s">
        <v>32</v>
      </c>
      <c r="G54" s="9" t="s">
        <v>20</v>
      </c>
      <c r="H54" s="9" t="s">
        <v>21</v>
      </c>
      <c r="I54" s="8" t="s">
        <v>258</v>
      </c>
      <c r="K54" s="21" t="s">
        <v>259</v>
      </c>
      <c r="L54" s="9" t="s">
        <v>52</v>
      </c>
      <c r="M54" s="9" t="s">
        <v>82</v>
      </c>
      <c r="N54" s="10">
        <v>45894</v>
      </c>
      <c r="O54" s="9" t="s">
        <v>22</v>
      </c>
      <c r="P54" s="9">
        <v>2</v>
      </c>
    </row>
    <row r="55" spans="1:16" ht="30" x14ac:dyDescent="0.25">
      <c r="A55" s="9">
        <v>199</v>
      </c>
      <c r="B55" s="9" t="s">
        <v>64</v>
      </c>
      <c r="C55" s="9" t="s">
        <v>58</v>
      </c>
      <c r="D55" s="10">
        <v>45898</v>
      </c>
      <c r="E55" s="9" t="s">
        <v>136</v>
      </c>
      <c r="F55" s="9" t="s">
        <v>260</v>
      </c>
      <c r="G55" s="9" t="s">
        <v>20</v>
      </c>
      <c r="H55" s="9" t="s">
        <v>21</v>
      </c>
      <c r="I55" s="8" t="s">
        <v>261</v>
      </c>
      <c r="K55" s="23" t="s">
        <v>262</v>
      </c>
      <c r="L55" s="9" t="s">
        <v>52</v>
      </c>
      <c r="M55" s="9" t="s">
        <v>82</v>
      </c>
      <c r="N55" s="10">
        <v>45898</v>
      </c>
      <c r="O55" s="9" t="s">
        <v>22</v>
      </c>
      <c r="P55" s="9">
        <v>2</v>
      </c>
    </row>
    <row r="56" spans="1:16" ht="45" x14ac:dyDescent="0.25">
      <c r="A56" s="9">
        <v>200</v>
      </c>
      <c r="B56" s="9" t="s">
        <v>65</v>
      </c>
      <c r="C56" s="9" t="s">
        <v>66</v>
      </c>
      <c r="D56" s="10">
        <v>45910</v>
      </c>
      <c r="E56" s="9" t="s">
        <v>110</v>
      </c>
      <c r="F56" s="9" t="s">
        <v>106</v>
      </c>
      <c r="G56" s="9" t="s">
        <v>20</v>
      </c>
      <c r="H56" s="9" t="s">
        <v>21</v>
      </c>
      <c r="I56" s="8" t="s">
        <v>263</v>
      </c>
      <c r="K56" s="8" t="s">
        <v>264</v>
      </c>
      <c r="L56" s="9" t="s">
        <v>52</v>
      </c>
      <c r="M56" s="9" t="s">
        <v>82</v>
      </c>
      <c r="N56" s="10">
        <v>45924</v>
      </c>
      <c r="O56" s="9" t="s">
        <v>22</v>
      </c>
      <c r="P56" s="9">
        <v>6</v>
      </c>
    </row>
    <row r="57" spans="1:16" ht="30" x14ac:dyDescent="0.25">
      <c r="A57" s="9">
        <v>201</v>
      </c>
      <c r="B57" s="9" t="s">
        <v>67</v>
      </c>
      <c r="C57" s="9" t="s">
        <v>66</v>
      </c>
      <c r="D57" s="10">
        <v>45916</v>
      </c>
      <c r="E57" s="9" t="s">
        <v>27</v>
      </c>
      <c r="F57" s="9" t="s">
        <v>84</v>
      </c>
      <c r="G57" s="9" t="s">
        <v>20</v>
      </c>
      <c r="H57" s="9" t="s">
        <v>21</v>
      </c>
      <c r="I57" s="8" t="s">
        <v>265</v>
      </c>
      <c r="K57" s="8" t="s">
        <v>266</v>
      </c>
      <c r="L57" s="9" t="s">
        <v>52</v>
      </c>
      <c r="M57" s="9" t="s">
        <v>82</v>
      </c>
      <c r="N57" s="10">
        <v>45916</v>
      </c>
      <c r="O57" s="9" t="s">
        <v>22</v>
      </c>
      <c r="P57" s="9">
        <v>4</v>
      </c>
    </row>
    <row r="58" spans="1:16" ht="45" x14ac:dyDescent="0.25">
      <c r="A58" s="9">
        <v>202</v>
      </c>
      <c r="B58" s="9" t="s">
        <v>68</v>
      </c>
      <c r="C58" s="9" t="s">
        <v>66</v>
      </c>
      <c r="D58" s="10">
        <v>45920</v>
      </c>
      <c r="E58" s="9" t="s">
        <v>48</v>
      </c>
      <c r="F58" s="9" t="s">
        <v>71</v>
      </c>
      <c r="G58" s="9" t="s">
        <v>20</v>
      </c>
      <c r="H58" s="9" t="s">
        <v>21</v>
      </c>
      <c r="I58" s="8" t="s">
        <v>267</v>
      </c>
      <c r="K58" s="8" t="s">
        <v>268</v>
      </c>
      <c r="L58" s="9" t="s">
        <v>52</v>
      </c>
      <c r="M58" s="9" t="s">
        <v>82</v>
      </c>
      <c r="N58" s="10">
        <v>45926</v>
      </c>
      <c r="O58" s="9" t="s">
        <v>22</v>
      </c>
      <c r="P58" s="9">
        <v>10</v>
      </c>
    </row>
    <row r="59" spans="1:16" ht="30" x14ac:dyDescent="0.25">
      <c r="A59" s="9">
        <v>203</v>
      </c>
      <c r="B59" s="9" t="s">
        <v>69</v>
      </c>
      <c r="C59" s="9" t="s">
        <v>70</v>
      </c>
      <c r="D59" s="10">
        <v>45932</v>
      </c>
      <c r="E59" s="9" t="s">
        <v>269</v>
      </c>
      <c r="F59" s="9" t="s">
        <v>270</v>
      </c>
      <c r="G59" s="9" t="s">
        <v>20</v>
      </c>
      <c r="H59" s="9" t="s">
        <v>21</v>
      </c>
      <c r="I59" s="8" t="s">
        <v>271</v>
      </c>
      <c r="K59" s="8" t="s">
        <v>272</v>
      </c>
      <c r="L59" s="9" t="s">
        <v>52</v>
      </c>
      <c r="M59" s="9" t="s">
        <v>82</v>
      </c>
      <c r="N59" s="10">
        <v>45937</v>
      </c>
      <c r="O59" s="9" t="s">
        <v>22</v>
      </c>
      <c r="P59" s="9">
        <v>2</v>
      </c>
    </row>
    <row r="60" spans="1:16" ht="30" x14ac:dyDescent="0.25">
      <c r="A60" s="9">
        <v>204</v>
      </c>
      <c r="B60" s="9" t="s">
        <v>72</v>
      </c>
      <c r="C60" s="9" t="s">
        <v>70</v>
      </c>
      <c r="D60" s="10">
        <v>45936</v>
      </c>
      <c r="E60" s="9" t="s">
        <v>215</v>
      </c>
      <c r="F60" s="9" t="s">
        <v>113</v>
      </c>
      <c r="G60" s="9" t="s">
        <v>20</v>
      </c>
      <c r="H60" s="9" t="s">
        <v>21</v>
      </c>
      <c r="I60" s="8" t="s">
        <v>273</v>
      </c>
      <c r="K60" s="8" t="s">
        <v>274</v>
      </c>
      <c r="L60" s="9" t="s">
        <v>52</v>
      </c>
      <c r="M60" s="9" t="s">
        <v>82</v>
      </c>
      <c r="N60" s="10">
        <v>45939</v>
      </c>
      <c r="O60" s="9" t="s">
        <v>22</v>
      </c>
      <c r="P60" s="9">
        <v>2</v>
      </c>
    </row>
    <row r="61" spans="1:16" ht="135" x14ac:dyDescent="0.25">
      <c r="A61" s="9">
        <v>205</v>
      </c>
      <c r="B61" s="9" t="s">
        <v>73</v>
      </c>
      <c r="C61" s="9" t="s">
        <v>70</v>
      </c>
      <c r="D61" s="10">
        <v>45951</v>
      </c>
      <c r="E61" s="9" t="s">
        <v>111</v>
      </c>
      <c r="F61" s="9" t="s">
        <v>91</v>
      </c>
      <c r="G61" s="9" t="s">
        <v>20</v>
      </c>
      <c r="H61" s="9" t="s">
        <v>21</v>
      </c>
      <c r="I61" s="8" t="s">
        <v>275</v>
      </c>
      <c r="K61" s="8" t="s">
        <v>276</v>
      </c>
      <c r="L61" s="9" t="s">
        <v>52</v>
      </c>
      <c r="M61" s="9" t="s">
        <v>82</v>
      </c>
      <c r="N61" s="10">
        <v>45952</v>
      </c>
      <c r="O61" s="9" t="s">
        <v>22</v>
      </c>
      <c r="P61" s="9">
        <v>4</v>
      </c>
    </row>
    <row r="62" spans="1:16" ht="90" x14ac:dyDescent="0.25">
      <c r="A62" s="9">
        <v>206</v>
      </c>
      <c r="B62" s="9" t="s">
        <v>277</v>
      </c>
      <c r="C62" s="9" t="s">
        <v>70</v>
      </c>
      <c r="D62" s="10">
        <v>45952</v>
      </c>
      <c r="E62" s="9" t="s">
        <v>111</v>
      </c>
      <c r="F62" s="9" t="s">
        <v>91</v>
      </c>
      <c r="G62" s="9" t="s">
        <v>20</v>
      </c>
      <c r="H62" s="9" t="s">
        <v>21</v>
      </c>
      <c r="I62" s="8" t="s">
        <v>278</v>
      </c>
      <c r="K62" s="8" t="s">
        <v>279</v>
      </c>
      <c r="L62" s="9" t="s">
        <v>52</v>
      </c>
      <c r="M62" s="9" t="s">
        <v>82</v>
      </c>
      <c r="N62" s="10">
        <v>46006</v>
      </c>
      <c r="O62" s="9" t="s">
        <v>22</v>
      </c>
      <c r="P62" s="9">
        <v>30</v>
      </c>
    </row>
    <row r="63" spans="1:16" x14ac:dyDescent="0.25">
      <c r="A63" s="9">
        <v>207</v>
      </c>
      <c r="B63" s="9" t="s">
        <v>74</v>
      </c>
      <c r="C63" s="9" t="s">
        <v>70</v>
      </c>
      <c r="D63" s="10">
        <v>45953</v>
      </c>
      <c r="E63" s="9" t="s">
        <v>112</v>
      </c>
      <c r="F63" s="9" t="s">
        <v>36</v>
      </c>
      <c r="G63" s="9" t="s">
        <v>20</v>
      </c>
      <c r="H63" s="9" t="s">
        <v>21</v>
      </c>
      <c r="I63" s="8" t="s">
        <v>280</v>
      </c>
      <c r="K63" s="8" t="s">
        <v>81</v>
      </c>
      <c r="L63" s="9" t="s">
        <v>52</v>
      </c>
      <c r="M63" s="9" t="s">
        <v>82</v>
      </c>
      <c r="N63" s="10">
        <v>45954</v>
      </c>
      <c r="O63" s="9" t="s">
        <v>22</v>
      </c>
      <c r="P63" s="9">
        <v>2</v>
      </c>
    </row>
    <row r="64" spans="1:16" ht="60" x14ac:dyDescent="0.25">
      <c r="A64" s="9">
        <v>208</v>
      </c>
      <c r="B64" s="9" t="s">
        <v>281</v>
      </c>
      <c r="C64" s="9" t="s">
        <v>75</v>
      </c>
      <c r="D64" s="10">
        <v>45964</v>
      </c>
      <c r="E64" s="9" t="s">
        <v>282</v>
      </c>
      <c r="F64" s="9" t="s">
        <v>32</v>
      </c>
      <c r="G64" s="9" t="s">
        <v>20</v>
      </c>
      <c r="H64" s="9" t="s">
        <v>21</v>
      </c>
      <c r="I64" s="8" t="s">
        <v>283</v>
      </c>
      <c r="K64" s="8" t="s">
        <v>284</v>
      </c>
      <c r="L64" s="9" t="s">
        <v>52</v>
      </c>
      <c r="M64" s="9" t="s">
        <v>82</v>
      </c>
      <c r="N64" s="10">
        <v>45626</v>
      </c>
      <c r="O64" s="9" t="s">
        <v>22</v>
      </c>
      <c r="P64" s="9">
        <v>16</v>
      </c>
    </row>
    <row r="65" spans="1:16" ht="30" x14ac:dyDescent="0.25">
      <c r="A65" s="9">
        <v>209</v>
      </c>
      <c r="B65" s="9" t="s">
        <v>285</v>
      </c>
      <c r="C65" s="9" t="s">
        <v>75</v>
      </c>
      <c r="D65" s="10">
        <v>45964</v>
      </c>
      <c r="E65" s="9" t="s">
        <v>118</v>
      </c>
      <c r="F65" s="9" t="s">
        <v>32</v>
      </c>
      <c r="G65" s="9" t="s">
        <v>20</v>
      </c>
      <c r="H65" s="9" t="s">
        <v>21</v>
      </c>
      <c r="I65" s="8" t="s">
        <v>286</v>
      </c>
      <c r="K65" s="8" t="s">
        <v>287</v>
      </c>
      <c r="L65" s="9" t="s">
        <v>52</v>
      </c>
      <c r="M65" s="9" t="s">
        <v>82</v>
      </c>
      <c r="N65" s="10">
        <v>45964</v>
      </c>
      <c r="O65" s="9" t="s">
        <v>22</v>
      </c>
      <c r="P65" s="9">
        <v>2</v>
      </c>
    </row>
    <row r="66" spans="1:16" ht="30" x14ac:dyDescent="0.25">
      <c r="A66" s="9">
        <v>210</v>
      </c>
      <c r="B66" s="9" t="s">
        <v>288</v>
      </c>
      <c r="C66" s="9" t="s">
        <v>75</v>
      </c>
      <c r="D66" s="10">
        <v>45967</v>
      </c>
      <c r="E66" s="9" t="s">
        <v>118</v>
      </c>
      <c r="F66" s="9" t="s">
        <v>289</v>
      </c>
      <c r="G66" s="9" t="s">
        <v>20</v>
      </c>
      <c r="H66" s="9" t="s">
        <v>21</v>
      </c>
      <c r="I66" s="8" t="s">
        <v>120</v>
      </c>
      <c r="K66" s="8" t="s">
        <v>259</v>
      </c>
      <c r="L66" s="9" t="s">
        <v>52</v>
      </c>
      <c r="M66" s="9" t="s">
        <v>82</v>
      </c>
      <c r="N66" s="10">
        <v>45967</v>
      </c>
      <c r="O66" s="9" t="s">
        <v>22</v>
      </c>
      <c r="P66" s="9">
        <v>2</v>
      </c>
    </row>
    <row r="67" spans="1:16" ht="75" x14ac:dyDescent="0.25">
      <c r="A67" s="9">
        <v>211</v>
      </c>
      <c r="B67" s="9" t="s">
        <v>290</v>
      </c>
      <c r="C67" s="9" t="s">
        <v>75</v>
      </c>
      <c r="D67" s="10">
        <v>45969</v>
      </c>
      <c r="E67" s="9" t="s">
        <v>46</v>
      </c>
      <c r="F67" s="9" t="s">
        <v>32</v>
      </c>
      <c r="G67" s="9" t="s">
        <v>20</v>
      </c>
      <c r="H67" s="9" t="s">
        <v>21</v>
      </c>
      <c r="I67" s="8" t="s">
        <v>291</v>
      </c>
      <c r="K67" s="8" t="s">
        <v>292</v>
      </c>
      <c r="L67" s="9" t="s">
        <v>52</v>
      </c>
      <c r="M67" s="9" t="s">
        <v>82</v>
      </c>
      <c r="N67" s="10">
        <v>45970</v>
      </c>
      <c r="O67" s="9" t="s">
        <v>22</v>
      </c>
      <c r="P67" s="9">
        <v>2</v>
      </c>
    </row>
    <row r="68" spans="1:16" ht="45" x14ac:dyDescent="0.25">
      <c r="A68" s="9">
        <v>212</v>
      </c>
      <c r="B68" s="9" t="s">
        <v>293</v>
      </c>
      <c r="C68" s="9" t="s">
        <v>75</v>
      </c>
      <c r="D68" s="10">
        <v>45978</v>
      </c>
      <c r="E68" s="9" t="s">
        <v>294</v>
      </c>
      <c r="F68" s="9" t="s">
        <v>25</v>
      </c>
      <c r="G68" s="9" t="s">
        <v>20</v>
      </c>
      <c r="H68" s="9" t="s">
        <v>21</v>
      </c>
      <c r="I68" s="8" t="s">
        <v>295</v>
      </c>
      <c r="K68" s="8" t="s">
        <v>296</v>
      </c>
      <c r="L68" s="9" t="s">
        <v>52</v>
      </c>
      <c r="M68" s="9" t="s">
        <v>82</v>
      </c>
      <c r="N68" s="10">
        <v>45985</v>
      </c>
      <c r="O68" s="9" t="s">
        <v>22</v>
      </c>
      <c r="P68" s="9">
        <v>12</v>
      </c>
    </row>
    <row r="69" spans="1:16" ht="30" x14ac:dyDescent="0.25">
      <c r="A69" s="9">
        <v>213</v>
      </c>
      <c r="B69" s="9" t="s">
        <v>297</v>
      </c>
      <c r="C69" s="9" t="s">
        <v>75</v>
      </c>
      <c r="D69" s="10">
        <v>45982</v>
      </c>
      <c r="E69" s="9" t="s">
        <v>298</v>
      </c>
      <c r="F69" s="24" t="s">
        <v>299</v>
      </c>
      <c r="G69" s="9" t="s">
        <v>20</v>
      </c>
      <c r="H69" s="9" t="s">
        <v>21</v>
      </c>
      <c r="I69" s="8" t="s">
        <v>258</v>
      </c>
      <c r="K69" s="8" t="s">
        <v>259</v>
      </c>
      <c r="L69" s="9" t="s">
        <v>52</v>
      </c>
      <c r="M69" s="9" t="s">
        <v>82</v>
      </c>
      <c r="N69" s="10">
        <v>45983</v>
      </c>
      <c r="O69" s="9" t="s">
        <v>22</v>
      </c>
      <c r="P69" s="9">
        <v>2</v>
      </c>
    </row>
    <row r="70" spans="1:16" ht="30" x14ac:dyDescent="0.25">
      <c r="A70" s="9">
        <v>214</v>
      </c>
      <c r="B70" s="9" t="s">
        <v>300</v>
      </c>
      <c r="C70" s="9" t="s">
        <v>75</v>
      </c>
      <c r="D70" s="10">
        <v>45986</v>
      </c>
      <c r="E70" s="9" t="s">
        <v>27</v>
      </c>
      <c r="F70" s="9" t="s">
        <v>301</v>
      </c>
      <c r="G70" s="9" t="s">
        <v>20</v>
      </c>
      <c r="H70" s="9" t="s">
        <v>21</v>
      </c>
      <c r="I70" s="8" t="s">
        <v>302</v>
      </c>
      <c r="K70" s="8" t="s">
        <v>303</v>
      </c>
      <c r="L70" s="9" t="s">
        <v>52</v>
      </c>
      <c r="M70" s="9" t="s">
        <v>82</v>
      </c>
      <c r="N70" s="10">
        <v>45986</v>
      </c>
      <c r="O70" s="9" t="s">
        <v>22</v>
      </c>
      <c r="P70" s="9">
        <v>2</v>
      </c>
    </row>
    <row r="71" spans="1:16" ht="30" x14ac:dyDescent="0.25">
      <c r="A71" s="9">
        <v>215</v>
      </c>
      <c r="B71" s="9" t="s">
        <v>76</v>
      </c>
      <c r="C71" s="9" t="s">
        <v>77</v>
      </c>
      <c r="D71" s="10">
        <v>45994</v>
      </c>
      <c r="E71" s="9" t="s">
        <v>19</v>
      </c>
      <c r="F71" s="9" t="s">
        <v>32</v>
      </c>
      <c r="G71" s="9" t="s">
        <v>20</v>
      </c>
      <c r="H71" s="9" t="s">
        <v>21</v>
      </c>
      <c r="I71" s="8" t="s">
        <v>304</v>
      </c>
      <c r="K71" s="8" t="s">
        <v>305</v>
      </c>
      <c r="M71" s="9" t="s">
        <v>82</v>
      </c>
      <c r="N71" s="10">
        <v>46002</v>
      </c>
      <c r="O71" s="9" t="s">
        <v>22</v>
      </c>
      <c r="P71" s="9">
        <v>4</v>
      </c>
    </row>
    <row r="72" spans="1:16" ht="30" x14ac:dyDescent="0.25">
      <c r="A72" s="9">
        <v>216</v>
      </c>
      <c r="B72" s="9" t="s">
        <v>78</v>
      </c>
      <c r="C72" s="9" t="s">
        <v>77</v>
      </c>
      <c r="D72" s="10">
        <v>45995</v>
      </c>
      <c r="E72" s="9" t="s">
        <v>51</v>
      </c>
      <c r="F72" s="9" t="s">
        <v>306</v>
      </c>
      <c r="G72" s="9" t="s">
        <v>20</v>
      </c>
      <c r="H72" s="9" t="s">
        <v>21</v>
      </c>
      <c r="I72" s="8" t="s">
        <v>307</v>
      </c>
      <c r="K72" s="8" t="s">
        <v>305</v>
      </c>
      <c r="M72" s="9" t="s">
        <v>82</v>
      </c>
      <c r="N72" s="10">
        <v>46005</v>
      </c>
      <c r="O72" s="9" t="s">
        <v>22</v>
      </c>
      <c r="P72" s="9">
        <v>4</v>
      </c>
    </row>
    <row r="73" spans="1:16" x14ac:dyDescent="0.25">
      <c r="D73" s="10"/>
      <c r="N73" s="10"/>
    </row>
    <row r="74" spans="1:16" ht="60" x14ac:dyDescent="0.25">
      <c r="A74" s="9">
        <v>217</v>
      </c>
      <c r="B74" s="9" t="s">
        <v>79</v>
      </c>
      <c r="C74" s="9" t="s">
        <v>80</v>
      </c>
      <c r="D74" s="10">
        <v>46030</v>
      </c>
      <c r="E74" s="9" t="s">
        <v>308</v>
      </c>
      <c r="F74" s="9" t="s">
        <v>25</v>
      </c>
      <c r="G74" s="9" t="s">
        <v>20</v>
      </c>
      <c r="H74" s="9" t="s">
        <v>21</v>
      </c>
      <c r="I74" s="8" t="s">
        <v>309</v>
      </c>
      <c r="K74" s="8" t="s">
        <v>310</v>
      </c>
      <c r="L74" s="9" t="s">
        <v>52</v>
      </c>
      <c r="M74" s="9" t="s">
        <v>82</v>
      </c>
      <c r="N74" s="10">
        <v>46038</v>
      </c>
      <c r="O74" s="9" t="s">
        <v>311</v>
      </c>
      <c r="P74" s="9">
        <v>20</v>
      </c>
    </row>
    <row r="75" spans="1:16" ht="45" x14ac:dyDescent="0.25">
      <c r="A75" s="9">
        <v>218</v>
      </c>
      <c r="B75" s="9" t="s">
        <v>83</v>
      </c>
      <c r="C75" s="9" t="s">
        <v>80</v>
      </c>
      <c r="D75" s="10">
        <v>46031</v>
      </c>
      <c r="E75" s="9" t="s">
        <v>51</v>
      </c>
      <c r="F75" s="9" t="s">
        <v>306</v>
      </c>
      <c r="G75" s="9" t="s">
        <v>312</v>
      </c>
      <c r="H75" s="9" t="s">
        <v>313</v>
      </c>
      <c r="I75" s="8" t="s">
        <v>314</v>
      </c>
      <c r="K75" s="8" t="s">
        <v>315</v>
      </c>
      <c r="L75" s="9" t="s">
        <v>52</v>
      </c>
      <c r="M75" s="9" t="s">
        <v>82</v>
      </c>
      <c r="N75" s="10">
        <v>46031</v>
      </c>
      <c r="O75" s="9" t="s">
        <v>311</v>
      </c>
      <c r="P75" s="9">
        <v>3</v>
      </c>
    </row>
    <row r="76" spans="1:16" ht="45" x14ac:dyDescent="0.25">
      <c r="A76" s="9">
        <v>219</v>
      </c>
      <c r="B76" s="9" t="s">
        <v>85</v>
      </c>
      <c r="C76" s="9" t="s">
        <v>80</v>
      </c>
      <c r="D76" s="10">
        <v>46034</v>
      </c>
      <c r="E76" s="9" t="s">
        <v>51</v>
      </c>
      <c r="F76" s="9" t="s">
        <v>306</v>
      </c>
      <c r="G76" s="9" t="s">
        <v>312</v>
      </c>
      <c r="H76" s="9" t="s">
        <v>313</v>
      </c>
      <c r="I76" s="8" t="s">
        <v>316</v>
      </c>
      <c r="K76" s="8" t="s">
        <v>317</v>
      </c>
      <c r="L76" s="9" t="s">
        <v>52</v>
      </c>
      <c r="M76" s="9" t="s">
        <v>82</v>
      </c>
      <c r="N76" s="10">
        <v>46034</v>
      </c>
      <c r="O76" s="9" t="s">
        <v>311</v>
      </c>
      <c r="P76" s="9">
        <v>2</v>
      </c>
    </row>
    <row r="77" spans="1:16" ht="75" x14ac:dyDescent="0.25">
      <c r="A77" s="9">
        <v>220</v>
      </c>
      <c r="B77" s="9" t="s">
        <v>86</v>
      </c>
      <c r="C77" s="9" t="s">
        <v>80</v>
      </c>
      <c r="D77" s="10">
        <v>46036</v>
      </c>
      <c r="E77" s="9" t="s">
        <v>112</v>
      </c>
      <c r="F77" s="9" t="s">
        <v>36</v>
      </c>
      <c r="G77" s="9" t="s">
        <v>312</v>
      </c>
      <c r="H77" s="9" t="s">
        <v>313</v>
      </c>
      <c r="I77" s="20" t="s">
        <v>318</v>
      </c>
      <c r="K77" s="8" t="s">
        <v>319</v>
      </c>
      <c r="L77" s="9" t="s">
        <v>52</v>
      </c>
      <c r="M77" s="9" t="s">
        <v>82</v>
      </c>
      <c r="N77" s="10">
        <v>46037</v>
      </c>
      <c r="O77" s="9" t="s">
        <v>311</v>
      </c>
      <c r="P77" s="9">
        <v>2</v>
      </c>
    </row>
    <row r="78" spans="1:16" ht="90" x14ac:dyDescent="0.25">
      <c r="A78" s="9">
        <v>221</v>
      </c>
      <c r="B78" s="9" t="s">
        <v>87</v>
      </c>
      <c r="C78" s="9" t="s">
        <v>80</v>
      </c>
      <c r="D78" s="10">
        <v>46037</v>
      </c>
      <c r="E78" s="9" t="s">
        <v>51</v>
      </c>
      <c r="F78" s="9" t="s">
        <v>306</v>
      </c>
      <c r="G78" s="9" t="s">
        <v>312</v>
      </c>
      <c r="H78" s="9" t="s">
        <v>313</v>
      </c>
      <c r="I78" s="8" t="s">
        <v>320</v>
      </c>
      <c r="K78" s="8" t="s">
        <v>321</v>
      </c>
      <c r="L78" s="9" t="s">
        <v>52</v>
      </c>
      <c r="M78" s="9" t="s">
        <v>82</v>
      </c>
      <c r="N78" s="10">
        <v>46038</v>
      </c>
      <c r="O78" s="9" t="s">
        <v>311</v>
      </c>
      <c r="P78" s="9">
        <v>3</v>
      </c>
    </row>
    <row r="79" spans="1:16" ht="30" x14ac:dyDescent="0.25">
      <c r="A79" s="9">
        <v>222</v>
      </c>
      <c r="B79" s="9" t="s">
        <v>88</v>
      </c>
      <c r="C79" s="9" t="s">
        <v>80</v>
      </c>
      <c r="D79" s="10">
        <v>46042</v>
      </c>
      <c r="E79" s="9" t="s">
        <v>47</v>
      </c>
      <c r="F79" s="9" t="s">
        <v>322</v>
      </c>
      <c r="G79" s="9" t="s">
        <v>312</v>
      </c>
      <c r="H79" s="9" t="s">
        <v>313</v>
      </c>
      <c r="I79" s="8" t="s">
        <v>323</v>
      </c>
      <c r="K79" s="8" t="s">
        <v>324</v>
      </c>
      <c r="L79" s="9" t="s">
        <v>52</v>
      </c>
      <c r="M79" s="9" t="s">
        <v>82</v>
      </c>
      <c r="N79" s="10">
        <v>46042</v>
      </c>
      <c r="O79" s="9" t="s">
        <v>311</v>
      </c>
      <c r="P79" s="9">
        <v>2</v>
      </c>
    </row>
    <row r="80" spans="1:16" ht="45" x14ac:dyDescent="0.25">
      <c r="A80" s="9">
        <v>223</v>
      </c>
      <c r="B80" s="9" t="s">
        <v>89</v>
      </c>
      <c r="C80" s="9" t="s">
        <v>80</v>
      </c>
      <c r="D80" s="10">
        <v>46051</v>
      </c>
      <c r="E80" s="9" t="s">
        <v>51</v>
      </c>
      <c r="F80" s="9" t="s">
        <v>306</v>
      </c>
      <c r="G80" s="9" t="s">
        <v>312</v>
      </c>
      <c r="H80" s="9" t="s">
        <v>313</v>
      </c>
      <c r="I80" s="8" t="s">
        <v>325</v>
      </c>
      <c r="K80" s="8" t="s">
        <v>326</v>
      </c>
      <c r="L80" s="9" t="s">
        <v>52</v>
      </c>
      <c r="M80" s="9" t="s">
        <v>82</v>
      </c>
      <c r="N80" s="10">
        <v>46051</v>
      </c>
      <c r="O80" s="9" t="s">
        <v>311</v>
      </c>
      <c r="P80" s="9">
        <v>2</v>
      </c>
    </row>
    <row r="81" spans="1:16" ht="30" x14ac:dyDescent="0.25">
      <c r="A81" s="9">
        <v>224</v>
      </c>
      <c r="B81" s="9" t="s">
        <v>90</v>
      </c>
      <c r="C81" s="9" t="s">
        <v>80</v>
      </c>
      <c r="D81" s="10">
        <v>46050</v>
      </c>
      <c r="E81" s="9" t="s">
        <v>327</v>
      </c>
      <c r="F81" s="9" t="s">
        <v>32</v>
      </c>
      <c r="G81" s="9" t="s">
        <v>312</v>
      </c>
      <c r="H81" s="9" t="s">
        <v>313</v>
      </c>
      <c r="I81" s="8" t="s">
        <v>328</v>
      </c>
      <c r="K81" s="8" t="s">
        <v>329</v>
      </c>
      <c r="L81" s="9" t="s">
        <v>52</v>
      </c>
      <c r="M81" s="9" t="s">
        <v>82</v>
      </c>
      <c r="N81" s="10">
        <v>46052</v>
      </c>
      <c r="O81" s="9" t="s">
        <v>311</v>
      </c>
      <c r="P81" s="9">
        <v>16</v>
      </c>
    </row>
    <row r="82" spans="1:16" ht="30" x14ac:dyDescent="0.25">
      <c r="A82" s="9">
        <v>225</v>
      </c>
      <c r="B82" s="9" t="s">
        <v>92</v>
      </c>
      <c r="C82" s="9" t="s">
        <v>93</v>
      </c>
      <c r="D82" s="10">
        <v>46055</v>
      </c>
      <c r="E82" s="9" t="s">
        <v>330</v>
      </c>
      <c r="F82" s="9" t="s">
        <v>25</v>
      </c>
      <c r="G82" s="9" t="s">
        <v>312</v>
      </c>
      <c r="H82" s="9" t="s">
        <v>313</v>
      </c>
      <c r="I82" s="8" t="s">
        <v>331</v>
      </c>
      <c r="K82" s="8" t="s">
        <v>332</v>
      </c>
      <c r="L82" s="9" t="s">
        <v>52</v>
      </c>
      <c r="M82" s="9" t="s">
        <v>82</v>
      </c>
      <c r="N82" s="10">
        <v>46056</v>
      </c>
      <c r="O82" s="9" t="s">
        <v>311</v>
      </c>
      <c r="P82" s="9">
        <v>2</v>
      </c>
    </row>
    <row r="83" spans="1:16" ht="75" x14ac:dyDescent="0.25">
      <c r="A83" s="9">
        <v>226</v>
      </c>
      <c r="B83" s="9" t="s">
        <v>94</v>
      </c>
      <c r="C83" s="9" t="s">
        <v>93</v>
      </c>
      <c r="D83" s="10">
        <v>46056</v>
      </c>
      <c r="E83" s="9" t="s">
        <v>327</v>
      </c>
      <c r="F83" s="9" t="s">
        <v>32</v>
      </c>
      <c r="G83" s="9" t="s">
        <v>312</v>
      </c>
      <c r="H83" s="9" t="s">
        <v>313</v>
      </c>
      <c r="I83" s="8" t="s">
        <v>333</v>
      </c>
      <c r="K83" s="8" t="s">
        <v>334</v>
      </c>
      <c r="L83" s="9" t="s">
        <v>52</v>
      </c>
      <c r="M83" s="9" t="s">
        <v>82</v>
      </c>
      <c r="N83" s="10">
        <v>46057</v>
      </c>
      <c r="O83" s="9" t="s">
        <v>311</v>
      </c>
      <c r="P83" s="9">
        <v>8</v>
      </c>
    </row>
    <row r="84" spans="1:16" ht="30" x14ac:dyDescent="0.25">
      <c r="A84" s="9">
        <v>227</v>
      </c>
      <c r="B84" s="9" t="s">
        <v>95</v>
      </c>
      <c r="C84" s="9" t="s">
        <v>93</v>
      </c>
      <c r="D84" s="10">
        <v>46057</v>
      </c>
      <c r="E84" s="9" t="s">
        <v>327</v>
      </c>
      <c r="F84" s="9" t="s">
        <v>32</v>
      </c>
      <c r="G84" s="9" t="s">
        <v>312</v>
      </c>
      <c r="H84" s="9" t="s">
        <v>313</v>
      </c>
      <c r="I84" s="8" t="s">
        <v>335</v>
      </c>
      <c r="K84" s="8" t="s">
        <v>336</v>
      </c>
      <c r="L84" s="9" t="s">
        <v>52</v>
      </c>
      <c r="M84" s="9" t="s">
        <v>82</v>
      </c>
      <c r="N84" s="10">
        <v>46058</v>
      </c>
      <c r="O84" s="9" t="s">
        <v>311</v>
      </c>
      <c r="P84" s="9">
        <v>2</v>
      </c>
    </row>
    <row r="85" spans="1:16" x14ac:dyDescent="0.25">
      <c r="A85" s="9">
        <v>228</v>
      </c>
      <c r="B85" s="9" t="s">
        <v>96</v>
      </c>
      <c r="C85" s="9" t="s">
        <v>93</v>
      </c>
      <c r="D85" s="10">
        <v>46059</v>
      </c>
      <c r="E85" s="9" t="s">
        <v>112</v>
      </c>
      <c r="F85" s="9" t="s">
        <v>36</v>
      </c>
      <c r="G85" s="9" t="s">
        <v>312</v>
      </c>
      <c r="H85" s="9" t="s">
        <v>313</v>
      </c>
      <c r="I85" s="8" t="s">
        <v>337</v>
      </c>
      <c r="K85" s="8" t="s">
        <v>338</v>
      </c>
      <c r="L85" s="9" t="s">
        <v>52</v>
      </c>
      <c r="M85" s="9" t="s">
        <v>82</v>
      </c>
      <c r="N85" s="10">
        <v>46059</v>
      </c>
      <c r="O85" s="9" t="s">
        <v>311</v>
      </c>
      <c r="P85" s="9">
        <v>2</v>
      </c>
    </row>
    <row r="86" spans="1:16" ht="30" x14ac:dyDescent="0.25">
      <c r="A86" s="9">
        <v>229</v>
      </c>
      <c r="B86" s="9" t="s">
        <v>97</v>
      </c>
      <c r="C86" s="9" t="s">
        <v>93</v>
      </c>
      <c r="D86" s="10">
        <v>46062</v>
      </c>
      <c r="E86" s="9" t="s">
        <v>136</v>
      </c>
      <c r="F86" s="9" t="s">
        <v>32</v>
      </c>
      <c r="G86" s="9" t="s">
        <v>312</v>
      </c>
      <c r="H86" s="9" t="s">
        <v>313</v>
      </c>
      <c r="I86" s="8" t="s">
        <v>339</v>
      </c>
      <c r="K86" s="8" t="s">
        <v>340</v>
      </c>
      <c r="L86" s="9" t="s">
        <v>52</v>
      </c>
      <c r="M86" s="9" t="s">
        <v>82</v>
      </c>
      <c r="N86" s="10">
        <v>46062</v>
      </c>
      <c r="O86" s="9" t="s">
        <v>311</v>
      </c>
      <c r="P86" s="9">
        <v>3</v>
      </c>
    </row>
    <row r="87" spans="1:16" ht="75" x14ac:dyDescent="0.25">
      <c r="A87" s="9">
        <v>230</v>
      </c>
      <c r="B87" s="9" t="s">
        <v>98</v>
      </c>
      <c r="C87" s="9" t="s">
        <v>93</v>
      </c>
      <c r="D87" s="10">
        <v>46062</v>
      </c>
      <c r="E87" s="9" t="s">
        <v>51</v>
      </c>
      <c r="F87" s="9" t="s">
        <v>32</v>
      </c>
      <c r="G87" s="9" t="s">
        <v>312</v>
      </c>
      <c r="H87" s="9" t="s">
        <v>313</v>
      </c>
      <c r="I87" s="8" t="s">
        <v>341</v>
      </c>
      <c r="K87" s="8" t="s">
        <v>342</v>
      </c>
      <c r="L87" s="9" t="s">
        <v>52</v>
      </c>
      <c r="M87" s="9" t="s">
        <v>82</v>
      </c>
      <c r="N87" s="10">
        <v>46063</v>
      </c>
      <c r="O87" s="9" t="s">
        <v>311</v>
      </c>
      <c r="P87" s="9">
        <v>6</v>
      </c>
    </row>
    <row r="88" spans="1:16" ht="90" x14ac:dyDescent="0.25">
      <c r="A88" s="9">
        <v>231</v>
      </c>
      <c r="B88" s="9" t="s">
        <v>100</v>
      </c>
      <c r="C88" s="9" t="s">
        <v>93</v>
      </c>
      <c r="D88" s="10">
        <v>46062</v>
      </c>
      <c r="E88" s="9" t="s">
        <v>343</v>
      </c>
      <c r="F88" s="9" t="s">
        <v>116</v>
      </c>
      <c r="G88" s="9" t="s">
        <v>312</v>
      </c>
      <c r="H88" s="9" t="s">
        <v>313</v>
      </c>
      <c r="I88" s="8" t="s">
        <v>344</v>
      </c>
      <c r="K88" s="8" t="s">
        <v>345</v>
      </c>
      <c r="L88" s="9" t="s">
        <v>52</v>
      </c>
      <c r="M88" s="9" t="s">
        <v>82</v>
      </c>
      <c r="N88" s="10">
        <v>46064</v>
      </c>
      <c r="O88" s="9" t="s">
        <v>311</v>
      </c>
      <c r="P88" s="9">
        <v>6</v>
      </c>
    </row>
    <row r="89" spans="1:16" ht="30" x14ac:dyDescent="0.25">
      <c r="A89" s="9">
        <v>232</v>
      </c>
      <c r="B89" s="9" t="s">
        <v>346</v>
      </c>
      <c r="C89" s="9" t="s">
        <v>93</v>
      </c>
      <c r="D89" s="10">
        <v>46063</v>
      </c>
      <c r="E89" s="9" t="s">
        <v>51</v>
      </c>
      <c r="F89" s="9" t="s">
        <v>32</v>
      </c>
      <c r="G89" s="9" t="s">
        <v>312</v>
      </c>
      <c r="H89" s="9" t="s">
        <v>313</v>
      </c>
      <c r="I89" s="8" t="s">
        <v>347</v>
      </c>
      <c r="K89" s="8" t="s">
        <v>348</v>
      </c>
      <c r="L89" s="9" t="s">
        <v>52</v>
      </c>
      <c r="M89" s="9" t="s">
        <v>82</v>
      </c>
      <c r="N89" s="10">
        <v>46064</v>
      </c>
      <c r="O89" s="9" t="s">
        <v>311</v>
      </c>
      <c r="P89" s="9">
        <v>4</v>
      </c>
    </row>
    <row r="90" spans="1:16" ht="30" x14ac:dyDescent="0.25">
      <c r="A90" s="9">
        <v>233</v>
      </c>
      <c r="B90" s="9" t="s">
        <v>349</v>
      </c>
      <c r="C90" s="9" t="s">
        <v>93</v>
      </c>
      <c r="D90" s="10">
        <v>46070</v>
      </c>
      <c r="E90" s="9" t="s">
        <v>51</v>
      </c>
      <c r="F90" s="9" t="s">
        <v>32</v>
      </c>
      <c r="G90" s="9" t="s">
        <v>312</v>
      </c>
      <c r="H90" s="9" t="s">
        <v>313</v>
      </c>
      <c r="I90" s="25" t="s">
        <v>350</v>
      </c>
      <c r="K90" s="8" t="s">
        <v>351</v>
      </c>
      <c r="L90" s="9" t="s">
        <v>52</v>
      </c>
      <c r="M90" s="9" t="s">
        <v>82</v>
      </c>
      <c r="N90" s="10">
        <v>46071</v>
      </c>
      <c r="O90" s="9" t="s">
        <v>311</v>
      </c>
      <c r="P90" s="9">
        <v>4</v>
      </c>
    </row>
    <row r="91" spans="1:16" ht="30" x14ac:dyDescent="0.25">
      <c r="A91" s="9">
        <v>234</v>
      </c>
      <c r="B91" s="9" t="s">
        <v>352</v>
      </c>
      <c r="C91" s="9" t="s">
        <v>93</v>
      </c>
      <c r="D91" s="10">
        <v>46071</v>
      </c>
      <c r="E91" s="9" t="s">
        <v>51</v>
      </c>
      <c r="F91" s="9" t="s">
        <v>306</v>
      </c>
      <c r="G91" s="9" t="s">
        <v>312</v>
      </c>
      <c r="H91" s="9" t="s">
        <v>313</v>
      </c>
      <c r="I91" s="8" t="s">
        <v>353</v>
      </c>
      <c r="K91" s="8" t="s">
        <v>354</v>
      </c>
      <c r="L91" s="9" t="s">
        <v>52</v>
      </c>
      <c r="M91" s="9" t="s">
        <v>82</v>
      </c>
      <c r="N91" s="10">
        <v>46071</v>
      </c>
      <c r="O91" s="9" t="s">
        <v>311</v>
      </c>
      <c r="P91" s="9">
        <v>2</v>
      </c>
    </row>
    <row r="92" spans="1:16" ht="30" x14ac:dyDescent="0.25">
      <c r="A92" s="9">
        <v>235</v>
      </c>
      <c r="B92" s="9" t="s">
        <v>355</v>
      </c>
      <c r="C92" s="9" t="s">
        <v>93</v>
      </c>
      <c r="D92" s="10">
        <v>46072</v>
      </c>
      <c r="E92" s="9" t="s">
        <v>136</v>
      </c>
      <c r="F92" s="9" t="s">
        <v>32</v>
      </c>
      <c r="G92" s="9" t="s">
        <v>312</v>
      </c>
      <c r="H92" s="9" t="s">
        <v>313</v>
      </c>
      <c r="I92" s="26" t="s">
        <v>356</v>
      </c>
      <c r="K92" s="8" t="s">
        <v>357</v>
      </c>
      <c r="L92" s="9" t="s">
        <v>52</v>
      </c>
      <c r="M92" s="9" t="s">
        <v>82</v>
      </c>
      <c r="N92" s="10">
        <v>46072</v>
      </c>
      <c r="O92" s="9" t="s">
        <v>311</v>
      </c>
      <c r="P92" s="9">
        <v>3</v>
      </c>
    </row>
    <row r="93" spans="1:16" ht="45" x14ac:dyDescent="0.25">
      <c r="A93" s="9">
        <v>236</v>
      </c>
      <c r="B93" s="9" t="s">
        <v>358</v>
      </c>
      <c r="C93" s="9" t="s">
        <v>93</v>
      </c>
      <c r="D93" s="10">
        <v>46073</v>
      </c>
      <c r="E93" s="9" t="s">
        <v>136</v>
      </c>
      <c r="F93" s="9" t="s">
        <v>32</v>
      </c>
      <c r="G93" s="9" t="s">
        <v>312</v>
      </c>
      <c r="H93" s="9" t="s">
        <v>313</v>
      </c>
      <c r="I93" s="26" t="s">
        <v>359</v>
      </c>
      <c r="K93" s="8" t="s">
        <v>360</v>
      </c>
      <c r="L93" s="9" t="s">
        <v>52</v>
      </c>
      <c r="M93" s="9" t="s">
        <v>82</v>
      </c>
      <c r="N93" s="10">
        <v>46073</v>
      </c>
      <c r="O93" s="9" t="s">
        <v>311</v>
      </c>
      <c r="P93" s="9">
        <v>2</v>
      </c>
    </row>
    <row r="94" spans="1:16" ht="45" x14ac:dyDescent="0.25">
      <c r="A94" s="9">
        <v>237</v>
      </c>
      <c r="B94" s="9" t="s">
        <v>361</v>
      </c>
      <c r="C94" s="9" t="s">
        <v>93</v>
      </c>
      <c r="D94" s="10">
        <v>46076</v>
      </c>
      <c r="E94" s="9" t="s">
        <v>330</v>
      </c>
      <c r="F94" s="9" t="s">
        <v>25</v>
      </c>
      <c r="G94" s="9" t="s">
        <v>312</v>
      </c>
      <c r="H94" s="9" t="s">
        <v>313</v>
      </c>
      <c r="I94" s="26" t="s">
        <v>362</v>
      </c>
      <c r="K94" s="8" t="s">
        <v>363</v>
      </c>
      <c r="L94" s="9" t="s">
        <v>52</v>
      </c>
      <c r="M94" s="9" t="s">
        <v>82</v>
      </c>
      <c r="N94" s="10">
        <v>46077</v>
      </c>
      <c r="O94" s="9" t="s">
        <v>311</v>
      </c>
      <c r="P94" s="9">
        <v>3</v>
      </c>
    </row>
    <row r="95" spans="1:16" ht="30" x14ac:dyDescent="0.25">
      <c r="A95" s="9">
        <v>238</v>
      </c>
      <c r="B95" s="9" t="s">
        <v>364</v>
      </c>
      <c r="C95" s="9" t="s">
        <v>93</v>
      </c>
      <c r="D95" s="10">
        <v>46079</v>
      </c>
      <c r="E95" s="9" t="s">
        <v>308</v>
      </c>
      <c r="F95" s="9" t="s">
        <v>25</v>
      </c>
      <c r="G95" s="9" t="s">
        <v>312</v>
      </c>
      <c r="H95" s="9" t="s">
        <v>313</v>
      </c>
      <c r="I95" s="26" t="s">
        <v>365</v>
      </c>
      <c r="K95" s="8" t="s">
        <v>366</v>
      </c>
      <c r="L95" s="9" t="s">
        <v>52</v>
      </c>
      <c r="M95" s="9" t="s">
        <v>82</v>
      </c>
      <c r="N95" s="10">
        <v>46081</v>
      </c>
      <c r="O95" s="9" t="s">
        <v>311</v>
      </c>
      <c r="P95" s="9">
        <v>3</v>
      </c>
    </row>
    <row r="96" spans="1:16" ht="45" x14ac:dyDescent="0.25">
      <c r="A96" s="28">
        <v>239</v>
      </c>
      <c r="B96" s="28" t="s">
        <v>364</v>
      </c>
      <c r="C96" s="28" t="s">
        <v>93</v>
      </c>
      <c r="D96" s="37">
        <v>46079</v>
      </c>
      <c r="E96" s="28" t="s">
        <v>308</v>
      </c>
      <c r="F96" s="28" t="s">
        <v>25</v>
      </c>
      <c r="G96" s="28" t="s">
        <v>312</v>
      </c>
      <c r="H96" s="28" t="s">
        <v>313</v>
      </c>
      <c r="I96" s="38" t="s">
        <v>367</v>
      </c>
      <c r="J96" s="28"/>
      <c r="K96" s="30" t="s">
        <v>368</v>
      </c>
      <c r="L96" s="28" t="s">
        <v>52</v>
      </c>
      <c r="M96" s="28" t="s">
        <v>82</v>
      </c>
      <c r="N96" s="37">
        <v>46079</v>
      </c>
      <c r="O96" s="28" t="s">
        <v>311</v>
      </c>
      <c r="P96" s="28">
        <v>3</v>
      </c>
    </row>
    <row r="97" spans="1:18" x14ac:dyDescent="0.25">
      <c r="A97" s="26">
        <v>240</v>
      </c>
      <c r="B97" s="26" t="s">
        <v>101</v>
      </c>
      <c r="C97" s="26" t="s">
        <v>102</v>
      </c>
      <c r="D97" s="31">
        <v>46083</v>
      </c>
      <c r="E97" s="26" t="s">
        <v>308</v>
      </c>
      <c r="F97" s="26" t="s">
        <v>369</v>
      </c>
      <c r="G97" s="26" t="s">
        <v>312</v>
      </c>
      <c r="H97" s="26" t="s">
        <v>313</v>
      </c>
      <c r="I97" s="29" t="s">
        <v>370</v>
      </c>
      <c r="J97" s="26"/>
      <c r="K97" s="29" t="s">
        <v>371</v>
      </c>
      <c r="L97" s="26" t="s">
        <v>52</v>
      </c>
      <c r="M97" s="26" t="s">
        <v>82</v>
      </c>
      <c r="N97" s="31">
        <v>46083</v>
      </c>
      <c r="O97" s="26" t="s">
        <v>311</v>
      </c>
      <c r="P97" s="26">
        <v>4</v>
      </c>
      <c r="Q97" s="36"/>
    </row>
    <row r="98" spans="1:18" ht="60" x14ac:dyDescent="0.25">
      <c r="A98" s="26">
        <v>241</v>
      </c>
      <c r="B98" s="26" t="s">
        <v>103</v>
      </c>
      <c r="C98" s="26" t="s">
        <v>102</v>
      </c>
      <c r="D98" s="31">
        <v>46083</v>
      </c>
      <c r="E98" s="26" t="s">
        <v>372</v>
      </c>
      <c r="F98" s="26" t="s">
        <v>25</v>
      </c>
      <c r="G98" s="26" t="s">
        <v>312</v>
      </c>
      <c r="H98" s="26" t="s">
        <v>313</v>
      </c>
      <c r="I98" s="29" t="s">
        <v>373</v>
      </c>
      <c r="J98" s="26"/>
      <c r="K98" s="32" t="s">
        <v>374</v>
      </c>
      <c r="L98" s="26" t="s">
        <v>52</v>
      </c>
      <c r="M98" s="26" t="s">
        <v>82</v>
      </c>
      <c r="N98" s="31">
        <v>46083</v>
      </c>
      <c r="O98" s="26" t="s">
        <v>311</v>
      </c>
      <c r="P98" s="26">
        <v>4</v>
      </c>
      <c r="Q98" s="36"/>
    </row>
    <row r="99" spans="1:18" ht="45" x14ac:dyDescent="0.25">
      <c r="A99" s="26">
        <v>242</v>
      </c>
      <c r="B99" s="26" t="s">
        <v>104</v>
      </c>
      <c r="C99" s="26" t="s">
        <v>102</v>
      </c>
      <c r="D99" s="31">
        <v>46084</v>
      </c>
      <c r="E99" s="26" t="s">
        <v>308</v>
      </c>
      <c r="F99" s="27" t="s">
        <v>25</v>
      </c>
      <c r="G99" s="26" t="s">
        <v>312</v>
      </c>
      <c r="H99" s="26" t="s">
        <v>313</v>
      </c>
      <c r="I99" s="29" t="s">
        <v>375</v>
      </c>
      <c r="J99" s="26"/>
      <c r="K99" s="27" t="s">
        <v>376</v>
      </c>
      <c r="L99" s="26" t="s">
        <v>52</v>
      </c>
      <c r="M99" s="26" t="s">
        <v>82</v>
      </c>
      <c r="N99" s="31">
        <v>46086</v>
      </c>
      <c r="O99" s="26" t="s">
        <v>311</v>
      </c>
      <c r="P99" s="26">
        <v>3</v>
      </c>
      <c r="Q99" s="36"/>
    </row>
    <row r="100" spans="1:18" ht="60" x14ac:dyDescent="0.25">
      <c r="A100" s="26">
        <v>243</v>
      </c>
      <c r="B100" s="26" t="s">
        <v>105</v>
      </c>
      <c r="C100" s="26" t="s">
        <v>102</v>
      </c>
      <c r="D100" s="31">
        <v>46087</v>
      </c>
      <c r="E100" s="26" t="s">
        <v>110</v>
      </c>
      <c r="F100" s="26" t="s">
        <v>32</v>
      </c>
      <c r="G100" s="26" t="s">
        <v>312</v>
      </c>
      <c r="H100" s="26" t="s">
        <v>313</v>
      </c>
      <c r="I100" s="26" t="s">
        <v>377</v>
      </c>
      <c r="J100" s="26"/>
      <c r="K100" s="33" t="s">
        <v>378</v>
      </c>
      <c r="L100" s="26" t="s">
        <v>52</v>
      </c>
      <c r="M100" s="26" t="s">
        <v>82</v>
      </c>
      <c r="N100" s="31">
        <v>46090</v>
      </c>
      <c r="O100" s="26" t="s">
        <v>311</v>
      </c>
      <c r="P100" s="26">
        <v>3</v>
      </c>
      <c r="Q100" s="36"/>
    </row>
    <row r="101" spans="1:18" ht="30" x14ac:dyDescent="0.25">
      <c r="A101" s="26">
        <v>244</v>
      </c>
      <c r="B101" s="26" t="s">
        <v>107</v>
      </c>
      <c r="C101" s="26" t="s">
        <v>102</v>
      </c>
      <c r="D101" s="31">
        <v>46099</v>
      </c>
      <c r="E101" s="34" t="s">
        <v>379</v>
      </c>
      <c r="F101" s="26" t="s">
        <v>32</v>
      </c>
      <c r="G101" s="26" t="s">
        <v>312</v>
      </c>
      <c r="H101" s="26" t="s">
        <v>313</v>
      </c>
      <c r="I101" s="29" t="s">
        <v>380</v>
      </c>
      <c r="J101" s="26"/>
      <c r="K101" s="29" t="s">
        <v>381</v>
      </c>
      <c r="L101" s="26" t="s">
        <v>52</v>
      </c>
      <c r="M101" s="26" t="s">
        <v>82</v>
      </c>
      <c r="N101" s="31">
        <v>46099</v>
      </c>
      <c r="O101" s="26" t="s">
        <v>311</v>
      </c>
      <c r="P101" s="26">
        <v>6</v>
      </c>
      <c r="Q101" s="36"/>
    </row>
    <row r="102" spans="1:18" ht="30" x14ac:dyDescent="0.25">
      <c r="A102" s="26">
        <v>245</v>
      </c>
      <c r="B102" s="26" t="s">
        <v>108</v>
      </c>
      <c r="C102" s="26" t="s">
        <v>102</v>
      </c>
      <c r="D102" s="31">
        <v>46100</v>
      </c>
      <c r="E102" s="26" t="s">
        <v>110</v>
      </c>
      <c r="F102" s="35" t="s">
        <v>306</v>
      </c>
      <c r="G102" s="26" t="s">
        <v>312</v>
      </c>
      <c r="H102" s="26" t="s">
        <v>313</v>
      </c>
      <c r="I102" s="26" t="s">
        <v>382</v>
      </c>
      <c r="J102" s="26"/>
      <c r="K102" s="29" t="s">
        <v>383</v>
      </c>
      <c r="L102" s="26" t="s">
        <v>52</v>
      </c>
      <c r="M102" s="26" t="s">
        <v>82</v>
      </c>
      <c r="N102" s="31">
        <v>46100</v>
      </c>
      <c r="O102" s="26" t="s">
        <v>311</v>
      </c>
      <c r="P102" s="26">
        <v>3</v>
      </c>
      <c r="Q102" s="36"/>
    </row>
    <row r="103" spans="1:18" x14ac:dyDescent="0.25">
      <c r="A103" s="26">
        <v>246</v>
      </c>
      <c r="B103" s="26" t="s">
        <v>109</v>
      </c>
      <c r="C103" s="26" t="s">
        <v>102</v>
      </c>
      <c r="D103" s="31">
        <v>46107</v>
      </c>
      <c r="E103" s="26" t="s">
        <v>308</v>
      </c>
      <c r="F103" s="27" t="s">
        <v>25</v>
      </c>
      <c r="G103" s="26" t="s">
        <v>312</v>
      </c>
      <c r="H103" s="26" t="s">
        <v>313</v>
      </c>
      <c r="I103" s="29" t="s">
        <v>384</v>
      </c>
      <c r="J103" s="26"/>
      <c r="K103" s="29" t="s">
        <v>385</v>
      </c>
      <c r="L103" s="26" t="s">
        <v>52</v>
      </c>
      <c r="M103" s="26" t="s">
        <v>82</v>
      </c>
      <c r="N103" s="31">
        <v>46107</v>
      </c>
      <c r="O103" s="26" t="s">
        <v>311</v>
      </c>
      <c r="P103" s="26">
        <v>3</v>
      </c>
      <c r="Q103" s="36"/>
    </row>
    <row r="104" spans="1:18" x14ac:dyDescent="0.25">
      <c r="A104" s="26">
        <v>247</v>
      </c>
      <c r="B104" s="26" t="s">
        <v>17</v>
      </c>
      <c r="C104" s="26" t="s">
        <v>391</v>
      </c>
      <c r="D104" s="31">
        <v>46126</v>
      </c>
      <c r="E104" s="26" t="s">
        <v>37</v>
      </c>
      <c r="F104" s="26" t="s">
        <v>25</v>
      </c>
      <c r="G104" s="26" t="s">
        <v>312</v>
      </c>
      <c r="H104" s="26" t="s">
        <v>313</v>
      </c>
      <c r="I104" s="26" t="s">
        <v>392</v>
      </c>
      <c r="J104" s="26"/>
      <c r="K104" s="26" t="s">
        <v>407</v>
      </c>
      <c r="L104" s="26" t="s">
        <v>52</v>
      </c>
      <c r="M104" s="26" t="s">
        <v>82</v>
      </c>
      <c r="N104" s="31">
        <v>46126</v>
      </c>
      <c r="O104" s="26" t="s">
        <v>311</v>
      </c>
      <c r="P104" s="26">
        <v>3</v>
      </c>
      <c r="Q104" s="26"/>
      <c r="R104" s="26"/>
    </row>
    <row r="105" spans="1:18" ht="30" x14ac:dyDescent="0.25">
      <c r="A105" s="26">
        <v>248</v>
      </c>
      <c r="B105" s="26" t="s">
        <v>23</v>
      </c>
      <c r="C105" s="26" t="s">
        <v>391</v>
      </c>
      <c r="D105" s="31">
        <v>46126</v>
      </c>
      <c r="E105" s="26" t="s">
        <v>394</v>
      </c>
      <c r="F105" s="26" t="s">
        <v>395</v>
      </c>
      <c r="G105" s="26" t="s">
        <v>312</v>
      </c>
      <c r="H105" s="26" t="s">
        <v>313</v>
      </c>
      <c r="I105" s="38" t="s">
        <v>404</v>
      </c>
      <c r="J105" s="38"/>
      <c r="K105" s="29" t="s">
        <v>393</v>
      </c>
      <c r="L105" s="26" t="s">
        <v>52</v>
      </c>
      <c r="M105" s="26" t="s">
        <v>82</v>
      </c>
      <c r="N105" s="31">
        <v>46126</v>
      </c>
      <c r="O105" s="26" t="s">
        <v>311</v>
      </c>
      <c r="P105" s="9">
        <v>3</v>
      </c>
      <c r="Q105" s="26"/>
      <c r="R105" s="26"/>
    </row>
    <row r="106" spans="1:18" ht="30" x14ac:dyDescent="0.25">
      <c r="A106" s="26">
        <v>249</v>
      </c>
      <c r="B106" s="26" t="s">
        <v>26</v>
      </c>
      <c r="C106" s="26" t="s">
        <v>391</v>
      </c>
      <c r="D106" s="31">
        <v>46132</v>
      </c>
      <c r="E106" s="26" t="s">
        <v>394</v>
      </c>
      <c r="F106" s="26" t="s">
        <v>32</v>
      </c>
      <c r="G106" s="26" t="s">
        <v>312</v>
      </c>
      <c r="H106" s="39" t="s">
        <v>313</v>
      </c>
      <c r="I106" s="8" t="s">
        <v>406</v>
      </c>
      <c r="K106" s="40" t="s">
        <v>396</v>
      </c>
      <c r="L106" s="26" t="s">
        <v>52</v>
      </c>
      <c r="M106" s="26" t="s">
        <v>82</v>
      </c>
      <c r="N106" s="31">
        <v>46132</v>
      </c>
      <c r="O106" s="26" t="s">
        <v>311</v>
      </c>
      <c r="P106" s="26">
        <v>12</v>
      </c>
      <c r="Q106" s="26"/>
      <c r="R106" s="26"/>
    </row>
    <row r="107" spans="1:18" ht="75" x14ac:dyDescent="0.25">
      <c r="A107" s="26">
        <v>250</v>
      </c>
      <c r="B107" s="26" t="s">
        <v>28</v>
      </c>
      <c r="C107" s="26" t="s">
        <v>391</v>
      </c>
      <c r="D107" s="31">
        <v>46132</v>
      </c>
      <c r="E107" s="26" t="s">
        <v>394</v>
      </c>
      <c r="F107" s="26" t="s">
        <v>400</v>
      </c>
      <c r="G107" s="26" t="s">
        <v>312</v>
      </c>
      <c r="H107" s="39" t="s">
        <v>313</v>
      </c>
      <c r="I107" s="9" t="s">
        <v>405</v>
      </c>
      <c r="K107" s="40" t="s">
        <v>397</v>
      </c>
      <c r="L107" s="26" t="s">
        <v>52</v>
      </c>
      <c r="M107" s="26" t="s">
        <v>82</v>
      </c>
      <c r="N107" s="31">
        <v>46132</v>
      </c>
      <c r="O107" s="26" t="s">
        <v>311</v>
      </c>
      <c r="P107" s="26">
        <v>8</v>
      </c>
      <c r="Q107" s="26"/>
      <c r="R107" s="26"/>
    </row>
    <row r="108" spans="1:18" x14ac:dyDescent="0.25">
      <c r="A108" s="26">
        <v>251</v>
      </c>
      <c r="B108" s="26" t="s">
        <v>29</v>
      </c>
      <c r="C108" s="26" t="s">
        <v>391</v>
      </c>
      <c r="D108" s="31">
        <v>46140</v>
      </c>
      <c r="E108" s="9" t="s">
        <v>408</v>
      </c>
      <c r="F108" s="26" t="s">
        <v>32</v>
      </c>
      <c r="G108" s="26" t="s">
        <v>312</v>
      </c>
      <c r="H108" s="39" t="s">
        <v>313</v>
      </c>
      <c r="I108" s="9" t="s">
        <v>402</v>
      </c>
      <c r="K108" s="40" t="s">
        <v>403</v>
      </c>
      <c r="L108" s="26" t="s">
        <v>52</v>
      </c>
      <c r="M108" s="26" t="s">
        <v>82</v>
      </c>
      <c r="N108" s="31">
        <v>46141</v>
      </c>
      <c r="O108" s="26" t="s">
        <v>311</v>
      </c>
      <c r="P108" s="26">
        <v>12</v>
      </c>
      <c r="Q108" s="26"/>
      <c r="R108" s="26"/>
    </row>
    <row r="109" spans="1:18" ht="30" x14ac:dyDescent="0.25">
      <c r="A109" s="26">
        <v>252</v>
      </c>
      <c r="B109" s="26" t="s">
        <v>30</v>
      </c>
      <c r="C109" s="26" t="s">
        <v>391</v>
      </c>
      <c r="D109" s="31">
        <v>46141</v>
      </c>
      <c r="E109" s="26" t="s">
        <v>110</v>
      </c>
      <c r="F109" s="26" t="s">
        <v>399</v>
      </c>
      <c r="G109" s="26" t="s">
        <v>312</v>
      </c>
      <c r="H109" s="39" t="s">
        <v>313</v>
      </c>
      <c r="I109" s="9" t="s">
        <v>398</v>
      </c>
      <c r="J109" s="36"/>
      <c r="K109" s="40" t="s">
        <v>401</v>
      </c>
      <c r="L109" s="26" t="s">
        <v>52</v>
      </c>
      <c r="M109" s="26" t="s">
        <v>82</v>
      </c>
      <c r="N109" s="31">
        <v>46141</v>
      </c>
      <c r="O109" s="26" t="s">
        <v>311</v>
      </c>
      <c r="P109" s="26">
        <v>3</v>
      </c>
      <c r="Q109" s="26"/>
      <c r="R109" s="26"/>
    </row>
    <row r="110" spans="1:18" s="8" customFormat="1" ht="15.75" x14ac:dyDescent="0.25">
      <c r="A110" s="8">
        <v>255</v>
      </c>
      <c r="B110" s="8" t="s">
        <v>38</v>
      </c>
      <c r="C110" s="8" t="s">
        <v>39</v>
      </c>
      <c r="D110" s="43">
        <v>46149</v>
      </c>
      <c r="E110" s="8" t="s">
        <v>394</v>
      </c>
      <c r="F110" s="8" t="s">
        <v>410</v>
      </c>
      <c r="G110" s="8" t="s">
        <v>312</v>
      </c>
      <c r="H110" s="8" t="s">
        <v>313</v>
      </c>
      <c r="I110" s="8" t="s">
        <v>409</v>
      </c>
      <c r="K110" s="41" t="s">
        <v>429</v>
      </c>
      <c r="L110" s="8" t="s">
        <v>52</v>
      </c>
      <c r="M110" s="8" t="s">
        <v>82</v>
      </c>
      <c r="N110" s="43">
        <v>46149</v>
      </c>
      <c r="O110" s="9" t="s">
        <v>311</v>
      </c>
      <c r="P110" s="8">
        <v>4</v>
      </c>
      <c r="Q110" s="40"/>
      <c r="R110" s="29"/>
    </row>
    <row r="111" spans="1:18" s="8" customFormat="1" ht="30.75" x14ac:dyDescent="0.3">
      <c r="A111" s="8">
        <v>257</v>
      </c>
      <c r="B111" s="8" t="s">
        <v>40</v>
      </c>
      <c r="C111" s="8" t="s">
        <v>39</v>
      </c>
      <c r="D111" s="43">
        <v>46153</v>
      </c>
      <c r="E111" s="8" t="s">
        <v>47</v>
      </c>
      <c r="F111" s="45" t="s">
        <v>415</v>
      </c>
      <c r="G111" s="8" t="s">
        <v>312</v>
      </c>
      <c r="H111" s="8" t="s">
        <v>313</v>
      </c>
      <c r="I111" s="46" t="s">
        <v>416</v>
      </c>
      <c r="K111" s="8" t="s">
        <v>432</v>
      </c>
      <c r="L111" s="8" t="s">
        <v>52</v>
      </c>
      <c r="M111" s="8" t="s">
        <v>82</v>
      </c>
      <c r="N111" s="43">
        <v>46160</v>
      </c>
      <c r="O111" s="9" t="s">
        <v>311</v>
      </c>
      <c r="P111" s="8">
        <v>6</v>
      </c>
      <c r="Q111" s="40"/>
      <c r="R111" s="29"/>
    </row>
    <row r="112" spans="1:18" s="8" customFormat="1" ht="31.5" x14ac:dyDescent="0.25">
      <c r="A112" s="8">
        <v>258</v>
      </c>
      <c r="B112" s="8" t="s">
        <v>41</v>
      </c>
      <c r="C112" s="8" t="s">
        <v>39</v>
      </c>
      <c r="D112" s="43">
        <v>46155</v>
      </c>
      <c r="E112" s="8" t="s">
        <v>412</v>
      </c>
      <c r="F112" s="8" t="s">
        <v>129</v>
      </c>
      <c r="G112" s="8" t="s">
        <v>312</v>
      </c>
      <c r="H112" s="8" t="s">
        <v>313</v>
      </c>
      <c r="I112" s="8" t="s">
        <v>411</v>
      </c>
      <c r="K112" s="47" t="s">
        <v>431</v>
      </c>
      <c r="L112" s="8" t="s">
        <v>52</v>
      </c>
      <c r="M112" s="8" t="s">
        <v>82</v>
      </c>
      <c r="N112" s="43">
        <v>46168</v>
      </c>
      <c r="O112" s="9" t="s">
        <v>311</v>
      </c>
      <c r="P112" s="8">
        <v>4</v>
      </c>
      <c r="Q112" s="40"/>
      <c r="R112" s="29"/>
    </row>
    <row r="113" spans="1:18" s="8" customFormat="1" ht="30" x14ac:dyDescent="0.25">
      <c r="A113" s="8">
        <v>259</v>
      </c>
      <c r="B113" s="8" t="s">
        <v>42</v>
      </c>
      <c r="C113" s="8" t="s">
        <v>39</v>
      </c>
      <c r="D113" s="43">
        <v>46157</v>
      </c>
      <c r="E113" s="8" t="s">
        <v>112</v>
      </c>
      <c r="F113" s="8" t="s">
        <v>32</v>
      </c>
      <c r="G113" s="8" t="s">
        <v>312</v>
      </c>
      <c r="H113" s="8" t="s">
        <v>313</v>
      </c>
      <c r="I113" s="42" t="s">
        <v>413</v>
      </c>
      <c r="K113" s="8" t="s">
        <v>414</v>
      </c>
      <c r="L113" s="8" t="s">
        <v>52</v>
      </c>
      <c r="M113" s="8" t="s">
        <v>82</v>
      </c>
      <c r="N113" s="43">
        <v>46167</v>
      </c>
      <c r="O113" s="9" t="s">
        <v>311</v>
      </c>
      <c r="P113" s="8">
        <v>8</v>
      </c>
      <c r="Q113" s="40"/>
      <c r="R113" s="29"/>
    </row>
    <row r="114" spans="1:18" s="8" customFormat="1" ht="39" x14ac:dyDescent="0.25">
      <c r="A114" s="8">
        <v>260</v>
      </c>
      <c r="B114" s="8" t="s">
        <v>43</v>
      </c>
      <c r="C114" s="8" t="s">
        <v>39</v>
      </c>
      <c r="D114" s="43">
        <v>46161</v>
      </c>
      <c r="E114" s="8" t="s">
        <v>394</v>
      </c>
      <c r="F114" s="8" t="s">
        <v>420</v>
      </c>
      <c r="G114" s="8" t="s">
        <v>312</v>
      </c>
      <c r="H114" s="8" t="s">
        <v>313</v>
      </c>
      <c r="I114" s="5" t="s">
        <v>421</v>
      </c>
      <c r="K114" s="47" t="s">
        <v>422</v>
      </c>
      <c r="L114" s="8" t="s">
        <v>52</v>
      </c>
      <c r="M114" s="8" t="s">
        <v>82</v>
      </c>
      <c r="N114" s="43">
        <v>46167</v>
      </c>
      <c r="O114" s="9" t="s">
        <v>311</v>
      </c>
      <c r="P114" s="8">
        <v>3</v>
      </c>
      <c r="Q114" s="44"/>
    </row>
    <row r="115" spans="1:18" s="8" customFormat="1" ht="30" x14ac:dyDescent="0.25">
      <c r="A115" s="8">
        <v>261</v>
      </c>
      <c r="B115" s="8" t="s">
        <v>207</v>
      </c>
      <c r="C115" s="8" t="s">
        <v>39</v>
      </c>
      <c r="D115" s="43">
        <v>46162</v>
      </c>
      <c r="E115" s="8" t="s">
        <v>394</v>
      </c>
      <c r="F115" s="8" t="s">
        <v>418</v>
      </c>
      <c r="G115" s="8" t="s">
        <v>312</v>
      </c>
      <c r="H115" s="8" t="s">
        <v>313</v>
      </c>
      <c r="I115" s="8" t="s">
        <v>417</v>
      </c>
      <c r="K115" s="8" t="s">
        <v>419</v>
      </c>
      <c r="L115" s="8" t="s">
        <v>52</v>
      </c>
      <c r="M115" s="8" t="s">
        <v>82</v>
      </c>
      <c r="N115" s="43">
        <v>46168</v>
      </c>
      <c r="O115" s="9" t="s">
        <v>311</v>
      </c>
      <c r="P115" s="8">
        <v>3</v>
      </c>
      <c r="Q115" s="44"/>
    </row>
    <row r="116" spans="1:18" s="8" customFormat="1" ht="31.5" x14ac:dyDescent="0.25">
      <c r="A116" s="8">
        <v>262</v>
      </c>
      <c r="B116" s="8" t="s">
        <v>210</v>
      </c>
      <c r="C116" s="8" t="s">
        <v>39</v>
      </c>
      <c r="D116" s="43">
        <v>46169</v>
      </c>
      <c r="E116" s="9" t="s">
        <v>112</v>
      </c>
      <c r="F116" s="8" t="s">
        <v>32</v>
      </c>
      <c r="G116" s="8" t="s">
        <v>312</v>
      </c>
      <c r="H116" s="8" t="s">
        <v>313</v>
      </c>
      <c r="I116" s="48" t="s">
        <v>423</v>
      </c>
      <c r="K116" s="47" t="s">
        <v>430</v>
      </c>
      <c r="L116" s="8" t="s">
        <v>52</v>
      </c>
      <c r="M116" s="8" t="s">
        <v>82</v>
      </c>
      <c r="N116" s="43">
        <v>46171</v>
      </c>
      <c r="O116" s="9" t="s">
        <v>311</v>
      </c>
      <c r="P116" s="8">
        <v>4</v>
      </c>
      <c r="Q116" s="44"/>
    </row>
    <row r="117" spans="1:18" s="8" customFormat="1" ht="30" x14ac:dyDescent="0.25">
      <c r="A117" s="8">
        <v>263</v>
      </c>
      <c r="B117" s="8" t="s">
        <v>427</v>
      </c>
      <c r="C117" s="8" t="s">
        <v>39</v>
      </c>
      <c r="D117" s="43">
        <v>46171</v>
      </c>
      <c r="E117" s="8" t="s">
        <v>425</v>
      </c>
      <c r="F117" s="8" t="s">
        <v>426</v>
      </c>
      <c r="G117" s="8" t="s">
        <v>312</v>
      </c>
      <c r="H117" s="8" t="s">
        <v>313</v>
      </c>
      <c r="I117" s="8" t="s">
        <v>424</v>
      </c>
      <c r="K117" s="8" t="s">
        <v>428</v>
      </c>
      <c r="L117" s="8" t="s">
        <v>52</v>
      </c>
      <c r="M117" s="8" t="s">
        <v>82</v>
      </c>
      <c r="N117" s="43">
        <v>46176</v>
      </c>
      <c r="O117" s="9" t="s">
        <v>311</v>
      </c>
      <c r="P117" s="8">
        <v>8</v>
      </c>
      <c r="Q117" s="44"/>
    </row>
    <row r="118" spans="1:18" x14ac:dyDescent="0.25">
      <c r="A118" s="8">
        <v>264</v>
      </c>
      <c r="B118" s="8" t="s">
        <v>433</v>
      </c>
      <c r="C118" s="9" t="s">
        <v>434</v>
      </c>
      <c r="D118" s="10">
        <v>46175</v>
      </c>
      <c r="E118" s="9" t="s">
        <v>441</v>
      </c>
      <c r="F118" t="s">
        <v>440</v>
      </c>
      <c r="G118" s="8" t="s">
        <v>312</v>
      </c>
      <c r="H118" s="8" t="s">
        <v>313</v>
      </c>
      <c r="I118" s="8" t="s">
        <v>439</v>
      </c>
      <c r="K118" s="8" t="s">
        <v>452</v>
      </c>
      <c r="L118" s="8" t="s">
        <v>52</v>
      </c>
      <c r="M118" s="8" t="s">
        <v>82</v>
      </c>
      <c r="N118" s="10">
        <v>46183</v>
      </c>
      <c r="O118" s="9" t="s">
        <v>311</v>
      </c>
      <c r="P118" s="9" t="s">
        <v>454</v>
      </c>
    </row>
    <row r="119" spans="1:18" ht="30" x14ac:dyDescent="0.25">
      <c r="A119" s="8">
        <v>265</v>
      </c>
      <c r="B119" s="8" t="s">
        <v>435</v>
      </c>
      <c r="C119" s="9" t="s">
        <v>434</v>
      </c>
      <c r="D119" s="10">
        <v>46176</v>
      </c>
      <c r="E119" s="9" t="s">
        <v>136</v>
      </c>
      <c r="F119" s="9" t="s">
        <v>443</v>
      </c>
      <c r="G119" s="8" t="s">
        <v>312</v>
      </c>
      <c r="H119" s="8" t="s">
        <v>313</v>
      </c>
      <c r="I119" s="8" t="s">
        <v>442</v>
      </c>
      <c r="K119" s="8" t="s">
        <v>453</v>
      </c>
      <c r="L119" s="8" t="s">
        <v>52</v>
      </c>
      <c r="M119" s="8" t="s">
        <v>82</v>
      </c>
      <c r="N119" s="10">
        <v>46183</v>
      </c>
      <c r="O119" s="9" t="s">
        <v>311</v>
      </c>
      <c r="P119" s="9">
        <v>2</v>
      </c>
    </row>
    <row r="120" spans="1:18" ht="30" x14ac:dyDescent="0.25">
      <c r="A120" s="8">
        <v>266</v>
      </c>
      <c r="B120" s="8" t="s">
        <v>436</v>
      </c>
      <c r="C120" s="9" t="s">
        <v>434</v>
      </c>
      <c r="D120" s="10">
        <v>46183</v>
      </c>
      <c r="E120" s="9" t="s">
        <v>112</v>
      </c>
      <c r="F120" s="9" t="s">
        <v>445</v>
      </c>
      <c r="G120" s="8" t="s">
        <v>312</v>
      </c>
      <c r="H120" s="8" t="s">
        <v>313</v>
      </c>
      <c r="I120" s="8" t="s">
        <v>444</v>
      </c>
      <c r="K120" s="8" t="s">
        <v>446</v>
      </c>
      <c r="L120" s="8" t="s">
        <v>52</v>
      </c>
      <c r="M120" s="8" t="s">
        <v>82</v>
      </c>
      <c r="N120" s="10">
        <v>46185</v>
      </c>
      <c r="O120" s="9" t="s">
        <v>311</v>
      </c>
      <c r="P120" s="9">
        <v>4</v>
      </c>
    </row>
    <row r="121" spans="1:18" x14ac:dyDescent="0.25">
      <c r="A121" s="8">
        <v>267</v>
      </c>
      <c r="B121" s="8" t="s">
        <v>437</v>
      </c>
      <c r="C121" s="9" t="s">
        <v>434</v>
      </c>
      <c r="D121" s="10">
        <v>46191</v>
      </c>
      <c r="E121" s="9" t="s">
        <v>441</v>
      </c>
      <c r="F121" s="9" t="s">
        <v>448</v>
      </c>
      <c r="G121" s="8" t="s">
        <v>312</v>
      </c>
      <c r="H121" s="8" t="s">
        <v>313</v>
      </c>
      <c r="I121" s="8" t="s">
        <v>447</v>
      </c>
      <c r="K121" s="8" t="s">
        <v>449</v>
      </c>
      <c r="L121" s="8" t="s">
        <v>52</v>
      </c>
      <c r="M121" s="8" t="s">
        <v>82</v>
      </c>
      <c r="N121" s="10">
        <v>46195</v>
      </c>
      <c r="O121" s="9" t="s">
        <v>311</v>
      </c>
      <c r="P121" s="9">
        <v>2</v>
      </c>
    </row>
    <row r="122" spans="1:18" x14ac:dyDescent="0.25">
      <c r="A122" s="8">
        <v>268</v>
      </c>
      <c r="B122" s="8" t="s">
        <v>438</v>
      </c>
      <c r="C122" s="9" t="s">
        <v>434</v>
      </c>
      <c r="D122" s="10">
        <v>46195</v>
      </c>
      <c r="E122" s="9" t="s">
        <v>394</v>
      </c>
      <c r="F122" s="9" t="s">
        <v>91</v>
      </c>
      <c r="G122" s="8" t="s">
        <v>312</v>
      </c>
      <c r="H122" s="8" t="s">
        <v>313</v>
      </c>
      <c r="I122" s="8" t="s">
        <v>450</v>
      </c>
      <c r="K122" s="8" t="s">
        <v>451</v>
      </c>
      <c r="L122" s="8" t="s">
        <v>52</v>
      </c>
      <c r="M122" s="8" t="s">
        <v>82</v>
      </c>
      <c r="N122" s="10">
        <v>46201</v>
      </c>
      <c r="O122" s="9" t="s">
        <v>311</v>
      </c>
      <c r="P122" s="9">
        <v>2</v>
      </c>
    </row>
    <row r="123" spans="1:18" x14ac:dyDescent="0.25">
      <c r="A123" s="8">
        <v>269</v>
      </c>
      <c r="B123" s="8" t="s">
        <v>49</v>
      </c>
      <c r="C123" s="9" t="s">
        <v>50</v>
      </c>
      <c r="D123" s="10">
        <v>46210</v>
      </c>
      <c r="E123" s="9" t="s">
        <v>136</v>
      </c>
      <c r="F123" s="9" t="s">
        <v>455</v>
      </c>
      <c r="G123" s="8" t="s">
        <v>312</v>
      </c>
      <c r="H123" s="8" t="s">
        <v>313</v>
      </c>
      <c r="I123" t="s">
        <v>456</v>
      </c>
      <c r="K123" s="8" t="s">
        <v>457</v>
      </c>
      <c r="L123" s="8" t="s">
        <v>52</v>
      </c>
      <c r="M123" s="9" t="s">
        <v>82</v>
      </c>
      <c r="N123" s="10">
        <v>46213</v>
      </c>
      <c r="O123" s="9" t="s">
        <v>311</v>
      </c>
      <c r="P123" s="9">
        <v>30</v>
      </c>
    </row>
    <row r="124" spans="1:18" x14ac:dyDescent="0.25">
      <c r="A124" s="8">
        <v>270</v>
      </c>
      <c r="B124" s="8" t="s">
        <v>53</v>
      </c>
      <c r="C124" s="9" t="s">
        <v>50</v>
      </c>
      <c r="D124" s="10">
        <v>46216</v>
      </c>
      <c r="E124" s="9" t="s">
        <v>115</v>
      </c>
      <c r="F124" s="9" t="s">
        <v>455</v>
      </c>
      <c r="G124" s="8" t="s">
        <v>312</v>
      </c>
      <c r="H124" s="8" t="s">
        <v>313</v>
      </c>
      <c r="I124" s="8" t="s">
        <v>458</v>
      </c>
      <c r="K124" s="8" t="s">
        <v>459</v>
      </c>
      <c r="L124" s="8" t="s">
        <v>52</v>
      </c>
      <c r="M124" s="9" t="s">
        <v>82</v>
      </c>
      <c r="N124" s="10">
        <v>46216</v>
      </c>
      <c r="O124" s="9" t="s">
        <v>311</v>
      </c>
      <c r="P124" s="9">
        <v>8</v>
      </c>
    </row>
    <row r="125" spans="1:18" x14ac:dyDescent="0.25">
      <c r="A125" s="8">
        <v>271</v>
      </c>
      <c r="B125" s="8" t="s">
        <v>54</v>
      </c>
      <c r="C125" s="9" t="s">
        <v>50</v>
      </c>
      <c r="D125" s="10">
        <v>46217</v>
      </c>
      <c r="E125" s="9" t="s">
        <v>115</v>
      </c>
      <c r="F125" s="9" t="s">
        <v>455</v>
      </c>
      <c r="G125" s="8" t="s">
        <v>312</v>
      </c>
      <c r="H125" s="8" t="s">
        <v>313</v>
      </c>
      <c r="I125" t="s">
        <v>460</v>
      </c>
      <c r="K125" s="8" t="s">
        <v>461</v>
      </c>
      <c r="M125" s="9" t="s">
        <v>82</v>
      </c>
      <c r="N125" s="10">
        <v>46220</v>
      </c>
      <c r="O125" s="9" t="s">
        <v>311</v>
      </c>
      <c r="P125" s="9">
        <v>24</v>
      </c>
    </row>
    <row r="126" spans="1:18" ht="30" x14ac:dyDescent="0.25">
      <c r="A126" s="8">
        <v>272</v>
      </c>
      <c r="B126" s="8" t="s">
        <v>55</v>
      </c>
      <c r="C126" s="9" t="s">
        <v>50</v>
      </c>
      <c r="D126" s="10">
        <v>46220</v>
      </c>
      <c r="E126" s="9" t="s">
        <v>115</v>
      </c>
      <c r="F126" s="9" t="s">
        <v>455</v>
      </c>
      <c r="G126" s="8" t="s">
        <v>312</v>
      </c>
      <c r="H126" s="8" t="s">
        <v>313</v>
      </c>
      <c r="I126" s="8" t="s">
        <v>462</v>
      </c>
      <c r="K126" s="8" t="s">
        <v>463</v>
      </c>
      <c r="M126" s="9" t="s">
        <v>82</v>
      </c>
      <c r="N126" s="10">
        <v>46227</v>
      </c>
      <c r="O126" s="9" t="s">
        <v>311</v>
      </c>
      <c r="P126" s="9">
        <v>24</v>
      </c>
    </row>
    <row r="127" spans="1:18" ht="30" x14ac:dyDescent="0.25">
      <c r="A127" s="8">
        <v>273</v>
      </c>
      <c r="B127" s="8" t="s">
        <v>56</v>
      </c>
      <c r="C127" s="9" t="s">
        <v>50</v>
      </c>
      <c r="D127" s="10">
        <v>46211</v>
      </c>
      <c r="E127" s="9" t="s">
        <v>19</v>
      </c>
      <c r="F127" s="9" t="s">
        <v>32</v>
      </c>
      <c r="G127" s="8" t="s">
        <v>312</v>
      </c>
      <c r="H127" s="8" t="s">
        <v>313</v>
      </c>
      <c r="I127" t="s">
        <v>464</v>
      </c>
      <c r="K127" s="8" t="s">
        <v>465</v>
      </c>
      <c r="M127" s="9" t="s">
        <v>82</v>
      </c>
      <c r="N127" s="10">
        <v>46218</v>
      </c>
      <c r="O127" s="9" t="s">
        <v>466</v>
      </c>
      <c r="P127" s="9">
        <v>32</v>
      </c>
    </row>
    <row r="128" spans="1:18" x14ac:dyDescent="0.25">
      <c r="A128" s="8"/>
      <c r="B128" s="8"/>
    </row>
  </sheetData>
  <mergeCells count="1">
    <mergeCell ref="A1:D1"/>
  </mergeCells>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2"/>
  <sheetViews>
    <sheetView showGridLines="0" workbookViewId="0">
      <selection activeCell="J14" sqref="J14"/>
    </sheetView>
  </sheetViews>
  <sheetFormatPr baseColWidth="10" defaultColWidth="9.140625" defaultRowHeight="15" x14ac:dyDescent="0.25"/>
  <cols>
    <col min="2" max="2" width="18.85546875" customWidth="1"/>
    <col min="3" max="3" width="33.42578125" customWidth="1"/>
    <col min="4" max="4" width="32.85546875" customWidth="1"/>
    <col min="5" max="5" width="27.7109375" customWidth="1"/>
  </cols>
  <sheetData>
    <row r="1" spans="2:5" ht="15.75" thickBot="1" x14ac:dyDescent="0.3"/>
    <row r="2" spans="2:5" ht="21" thickBot="1" x14ac:dyDescent="0.3">
      <c r="B2" s="50" t="s">
        <v>386</v>
      </c>
      <c r="C2" s="51"/>
      <c r="D2" s="51"/>
      <c r="E2" s="52"/>
    </row>
    <row r="3" spans="2:5" ht="63" customHeight="1" x14ac:dyDescent="0.25">
      <c r="B3" s="1" t="s">
        <v>387</v>
      </c>
      <c r="C3" s="2" t="s">
        <v>388</v>
      </c>
      <c r="D3" s="2" t="s">
        <v>389</v>
      </c>
      <c r="E3" s="3" t="s">
        <v>390</v>
      </c>
    </row>
    <row r="4" spans="2:5" ht="18" x14ac:dyDescent="0.25">
      <c r="B4" s="6">
        <v>45681</v>
      </c>
      <c r="C4" s="7">
        <v>10</v>
      </c>
      <c r="D4" s="7">
        <f t="shared" ref="D4:D13" si="0">(C4/160)</f>
        <v>6.25E-2</v>
      </c>
      <c r="E4" s="7">
        <f ca="1">SUM(E4,D4)</f>
        <v>0</v>
      </c>
    </row>
    <row r="5" spans="2:5" ht="18" x14ac:dyDescent="0.25">
      <c r="B5" s="6">
        <v>45712</v>
      </c>
      <c r="C5" s="7">
        <v>27</v>
      </c>
      <c r="D5" s="7">
        <f t="shared" si="0"/>
        <v>0.16875000000000001</v>
      </c>
      <c r="E5" s="7">
        <f ca="1">SUM(E4,D5)</f>
        <v>0</v>
      </c>
    </row>
    <row r="6" spans="2:5" ht="18" x14ac:dyDescent="0.25">
      <c r="B6" s="6">
        <v>45740</v>
      </c>
      <c r="C6" s="7">
        <v>45</v>
      </c>
      <c r="D6" s="7">
        <f t="shared" si="0"/>
        <v>0.28125</v>
      </c>
      <c r="E6" s="7">
        <f t="shared" ref="E6:E14" ca="1" si="1">SUM(E5,D6)</f>
        <v>5.3937499999999989</v>
      </c>
    </row>
    <row r="7" spans="2:5" ht="18" x14ac:dyDescent="0.25">
      <c r="B7" s="6">
        <v>45771</v>
      </c>
      <c r="C7" s="7">
        <v>66</v>
      </c>
      <c r="D7" s="7">
        <f t="shared" si="0"/>
        <v>0.41249999999999998</v>
      </c>
      <c r="E7" s="7">
        <f t="shared" ca="1" si="1"/>
        <v>5.8062499999999986</v>
      </c>
    </row>
    <row r="8" spans="2:5" ht="18" x14ac:dyDescent="0.25">
      <c r="B8" s="6">
        <v>45801</v>
      </c>
      <c r="C8" s="7">
        <v>20</v>
      </c>
      <c r="D8" s="7">
        <f t="shared" si="0"/>
        <v>0.125</v>
      </c>
      <c r="E8" s="7">
        <f t="shared" ca="1" si="1"/>
        <v>5.9312499999999986</v>
      </c>
    </row>
    <row r="9" spans="2:5" ht="18" x14ac:dyDescent="0.25">
      <c r="B9" s="6">
        <v>45832</v>
      </c>
      <c r="C9" s="7">
        <v>4</v>
      </c>
      <c r="D9" s="7">
        <f t="shared" si="0"/>
        <v>2.5000000000000001E-2</v>
      </c>
      <c r="E9" s="7">
        <f t="shared" ca="1" si="1"/>
        <v>5.9562499999999989</v>
      </c>
    </row>
    <row r="10" spans="2:5" ht="18" x14ac:dyDescent="0.25">
      <c r="B10" s="6">
        <v>45862</v>
      </c>
      <c r="C10" s="7">
        <v>40</v>
      </c>
      <c r="D10" s="7">
        <f t="shared" si="0"/>
        <v>0.25</v>
      </c>
      <c r="E10" s="7">
        <f t="shared" ca="1" si="1"/>
        <v>6.2062499999999989</v>
      </c>
    </row>
    <row r="11" spans="2:5" ht="18" x14ac:dyDescent="0.25">
      <c r="B11" s="6">
        <v>45893</v>
      </c>
      <c r="C11" s="7">
        <v>24</v>
      </c>
      <c r="D11" s="7">
        <f t="shared" si="0"/>
        <v>0.15</v>
      </c>
      <c r="E11" s="7">
        <f t="shared" ca="1" si="1"/>
        <v>6.3562499999999993</v>
      </c>
    </row>
    <row r="12" spans="2:5" ht="18" x14ac:dyDescent="0.25">
      <c r="B12" s="6">
        <v>45924</v>
      </c>
      <c r="C12" s="7">
        <v>20</v>
      </c>
      <c r="D12" s="7">
        <f t="shared" si="0"/>
        <v>0.125</v>
      </c>
      <c r="E12" s="7">
        <f t="shared" ca="1" si="1"/>
        <v>6.4812499999999993</v>
      </c>
    </row>
    <row r="13" spans="2:5" ht="18" x14ac:dyDescent="0.25">
      <c r="B13" s="6">
        <v>45954</v>
      </c>
      <c r="C13" s="7">
        <v>40</v>
      </c>
      <c r="D13" s="7">
        <f t="shared" si="0"/>
        <v>0.25</v>
      </c>
      <c r="E13" s="7">
        <f t="shared" ca="1" si="1"/>
        <v>6.7312499999999993</v>
      </c>
    </row>
    <row r="14" spans="2:5" ht="18" x14ac:dyDescent="0.25">
      <c r="B14" s="6">
        <v>45985</v>
      </c>
      <c r="C14" s="7">
        <v>38</v>
      </c>
      <c r="D14" s="7">
        <f t="shared" ref="D14:D15" si="2">(C14/160)</f>
        <v>0.23749999999999999</v>
      </c>
      <c r="E14" s="7">
        <f t="shared" ca="1" si="1"/>
        <v>6.9687499999999991</v>
      </c>
    </row>
    <row r="15" spans="2:5" ht="18" x14ac:dyDescent="0.25">
      <c r="B15" s="6">
        <v>46015</v>
      </c>
      <c r="C15" s="7">
        <v>8</v>
      </c>
      <c r="D15" s="7">
        <f t="shared" si="2"/>
        <v>0.05</v>
      </c>
      <c r="E15" s="7">
        <f t="shared" ref="E15" ca="1" si="3">SUM(E14,D15)</f>
        <v>7.0187499999999989</v>
      </c>
    </row>
    <row r="16" spans="2:5" ht="18" x14ac:dyDescent="0.25">
      <c r="B16" s="6">
        <v>46046</v>
      </c>
      <c r="C16" s="7">
        <v>50</v>
      </c>
      <c r="D16" s="7">
        <f t="shared" ref="D16" si="4">(C16/160)</f>
        <v>0.3125</v>
      </c>
      <c r="E16" s="7">
        <f t="shared" ref="E16" ca="1" si="5">SUM(E15,D16)</f>
        <v>7.3312499999999989</v>
      </c>
    </row>
    <row r="17" spans="2:5" ht="18" x14ac:dyDescent="0.25">
      <c r="B17" s="6">
        <v>46077</v>
      </c>
      <c r="C17" s="7">
        <v>53</v>
      </c>
      <c r="D17" s="7">
        <f t="shared" ref="D17:D20" si="6">(C17/160)</f>
        <v>0.33124999999999999</v>
      </c>
      <c r="E17" s="7">
        <f t="shared" ref="E17:E20" ca="1" si="7">SUM(E16,D17)</f>
        <v>7.6624999999999988</v>
      </c>
    </row>
    <row r="18" spans="2:5" ht="18" x14ac:dyDescent="0.25">
      <c r="B18" s="6">
        <v>46105</v>
      </c>
      <c r="C18" s="7">
        <v>26</v>
      </c>
      <c r="D18" s="7">
        <f t="shared" si="6"/>
        <v>0.16250000000000001</v>
      </c>
      <c r="E18" s="7">
        <f t="shared" ca="1" si="7"/>
        <v>7.8249999999999984</v>
      </c>
    </row>
    <row r="19" spans="2:5" ht="18" x14ac:dyDescent="0.25">
      <c r="B19" s="6">
        <v>46136</v>
      </c>
      <c r="C19" s="7">
        <v>41</v>
      </c>
      <c r="D19" s="7">
        <f t="shared" si="6"/>
        <v>0.25624999999999998</v>
      </c>
      <c r="E19" s="4">
        <f t="shared" ca="1" si="7"/>
        <v>8.0812499999999989</v>
      </c>
    </row>
    <row r="20" spans="2:5" ht="18" x14ac:dyDescent="0.25">
      <c r="B20" s="6">
        <v>46166</v>
      </c>
      <c r="C20" s="7">
        <v>40</v>
      </c>
      <c r="D20" s="7">
        <f t="shared" si="6"/>
        <v>0.25</v>
      </c>
      <c r="E20" s="7">
        <f t="shared" ca="1" si="7"/>
        <v>8.3312499999999989</v>
      </c>
    </row>
    <row r="21" spans="2:5" ht="18" x14ac:dyDescent="0.25">
      <c r="B21" s="6">
        <v>46197</v>
      </c>
      <c r="C21" s="7">
        <v>14</v>
      </c>
      <c r="D21" s="7">
        <f>(C21/160)</f>
        <v>8.7499999999999994E-2</v>
      </c>
      <c r="E21" s="7">
        <f ca="1">SUM(E20,D21)</f>
        <v>8.4187499999999993</v>
      </c>
    </row>
    <row r="22" spans="2:5" ht="18" x14ac:dyDescent="0.25">
      <c r="B22" s="6">
        <v>46227</v>
      </c>
      <c r="C22" s="7">
        <v>15</v>
      </c>
      <c r="D22" s="7">
        <f t="shared" ref="D22" si="8">(C22/160)</f>
        <v>9.375E-2</v>
      </c>
      <c r="E22" s="7">
        <f ca="1">SUM(E21,D22)</f>
        <v>8.5124999999999993</v>
      </c>
    </row>
  </sheetData>
  <mergeCells count="1">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Support Task 2025-2026</vt:lpstr>
      <vt:lpstr>Summary</vt:lpstr>
    </vt:vector>
  </TitlesOfParts>
  <Manager/>
  <Company>MIND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Haider, Imteyaz (MTSL)</dc:creator>
  <cp:keywords/>
  <dc:description/>
  <cp:lastModifiedBy>Raban Graf Praschma</cp:lastModifiedBy>
  <cp:revision/>
  <dcterms:created xsi:type="dcterms:W3CDTF">2023-04-03T11:16:13Z</dcterms:created>
  <dcterms:modified xsi:type="dcterms:W3CDTF">2026-08-21T16:27:29Z</dcterms:modified>
  <cp:category/>
  <cp:contentStatus/>
</cp:coreProperties>
</file>