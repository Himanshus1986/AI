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india365-my.sharepoint.com/personal/himanshus6_kpmg_com/Documents/Desktop/"/>
    </mc:Choice>
  </mc:AlternateContent>
  <xr:revisionPtr revIDLastSave="117" documentId="13_ncr:1_{C695D5D5-7E79-40E4-960C-DADB0268940F}" xr6:coauthVersionLast="47" xr6:coauthVersionMax="47" xr10:uidLastSave="{0E123D68-8A78-4013-89C2-B96AD31FEC16}"/>
  <bookViews>
    <workbookView xWindow="-120" yWindow="-120" windowWidth="20730" windowHeight="11040" firstSheet="1" activeTab="2" xr2:uid="{00000000-000D-0000-FFFF-FFFF00000000}"/>
  </bookViews>
  <sheets>
    <sheet name="validation" sheetId="2" state="hidden" r:id="rId1"/>
    <sheet name="FORM (2)" sheetId="4" r:id="rId2"/>
    <sheet name="Expense Detail (2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5" l="1"/>
  <c r="I18" i="5"/>
  <c r="I17" i="5"/>
  <c r="N17" i="5" s="1"/>
  <c r="I16" i="5"/>
  <c r="N16" i="5" s="1"/>
  <c r="I15" i="5"/>
  <c r="N15" i="5" s="1"/>
  <c r="I14" i="5"/>
  <c r="N14" i="5" s="1"/>
  <c r="I13" i="5"/>
  <c r="N13" i="5" s="1"/>
  <c r="I12" i="5"/>
  <c r="N12" i="5" s="1"/>
  <c r="I11" i="5"/>
  <c r="N11" i="5" s="1"/>
  <c r="I10" i="5"/>
  <c r="N10" i="5" s="1"/>
  <c r="I9" i="5"/>
  <c r="N9" i="5" s="1"/>
  <c r="I8" i="5"/>
  <c r="N8" i="5" s="1"/>
  <c r="I7" i="5"/>
  <c r="N7" i="5" s="1"/>
  <c r="I6" i="5"/>
  <c r="N6" i="5" s="1"/>
  <c r="I5" i="5"/>
  <c r="N5" i="5" s="1"/>
  <c r="I4" i="5"/>
  <c r="N4" i="5" s="1"/>
  <c r="I3" i="5"/>
  <c r="N3" i="5" s="1"/>
  <c r="G15" i="4"/>
  <c r="F14" i="4"/>
  <c r="F13" i="4"/>
  <c r="F12" i="4"/>
  <c r="F11" i="4"/>
  <c r="F10" i="4"/>
  <c r="F9" i="4"/>
  <c r="F7" i="4"/>
  <c r="F6" i="4"/>
  <c r="F15" i="4" s="1"/>
</calcChain>
</file>

<file path=xl/sharedStrings.xml><?xml version="1.0" encoding="utf-8"?>
<sst xmlns="http://schemas.openxmlformats.org/spreadsheetml/2006/main" count="175" uniqueCount="96">
  <si>
    <t>Type Of Expense</t>
  </si>
  <si>
    <t>City for Hotel Accomdation</t>
  </si>
  <si>
    <t>Mode of Transport for local conveyance</t>
  </si>
  <si>
    <t>Rate</t>
  </si>
  <si>
    <t>Bill Attached</t>
  </si>
  <si>
    <t>Air Fare</t>
  </si>
  <si>
    <t>Delhi</t>
  </si>
  <si>
    <t>Train</t>
  </si>
  <si>
    <t>Yes</t>
  </si>
  <si>
    <t>Bus / Rail Ticket</t>
  </si>
  <si>
    <t>Mumbai</t>
  </si>
  <si>
    <t>Bus</t>
  </si>
  <si>
    <t>No</t>
  </si>
  <si>
    <t>Lodging / Hotel</t>
  </si>
  <si>
    <t>Chennai</t>
  </si>
  <si>
    <t>Taxi</t>
  </si>
  <si>
    <t>Food Expenses</t>
  </si>
  <si>
    <t>Kolkatta</t>
  </si>
  <si>
    <t>Auto</t>
  </si>
  <si>
    <t>Local Conveyance</t>
  </si>
  <si>
    <t>Bangalore</t>
  </si>
  <si>
    <t>Own Car</t>
  </si>
  <si>
    <t>Phone / Internet</t>
  </si>
  <si>
    <t>Other</t>
  </si>
  <si>
    <t>Own Bike</t>
  </si>
  <si>
    <t>Courier</t>
  </si>
  <si>
    <t>Xerox, Scan &amp; Stationery</t>
  </si>
  <si>
    <t>Stamp Paper</t>
  </si>
  <si>
    <t>Project Consumables</t>
  </si>
  <si>
    <t>Others</t>
  </si>
  <si>
    <t>Date of expense incurred
or Expense Period</t>
  </si>
  <si>
    <t>Place visited</t>
  </si>
  <si>
    <t>Sr. No.</t>
  </si>
  <si>
    <t>From Date</t>
  </si>
  <si>
    <t>To Date</t>
  </si>
  <si>
    <t>From</t>
  </si>
  <si>
    <t>To</t>
  </si>
  <si>
    <t>Rate Per KM
for Car / Bike</t>
  </si>
  <si>
    <t>KM</t>
  </si>
  <si>
    <t>Name of Airline / Service Provider / Hotel / Restaurant / Courier / Vendor</t>
  </si>
  <si>
    <t>Bill No</t>
  </si>
  <si>
    <t>Amount</t>
  </si>
  <si>
    <t>Remarks / Descriptions</t>
  </si>
  <si>
    <t>Please insert lines before this row</t>
  </si>
  <si>
    <t>Date</t>
  </si>
  <si>
    <t>Pine Labs Private Limited</t>
  </si>
  <si>
    <t>Business Expenses Reimbursement Form</t>
  </si>
  <si>
    <t>Employee and Claim detail:</t>
  </si>
  <si>
    <t>Particulars</t>
  </si>
  <si>
    <t>Claim 
Amount</t>
  </si>
  <si>
    <t>Value of Bill Submitted</t>
  </si>
  <si>
    <t>Designation</t>
  </si>
  <si>
    <t>Department / Project</t>
  </si>
  <si>
    <t>Location</t>
  </si>
  <si>
    <t>Approver Manager</t>
  </si>
  <si>
    <t>Expense Type</t>
  </si>
  <si>
    <t>Claim Date</t>
  </si>
  <si>
    <t>Claim Period (from)</t>
  </si>
  <si>
    <t>Claim Period (to)</t>
  </si>
  <si>
    <t>Total Claim Amount</t>
  </si>
  <si>
    <t>Please ensure the monthly submission of your business claim to avoid rejection due to non-compliance with the company policy.</t>
  </si>
  <si>
    <t>I hereby confirm that all the expenses claimed are as per the company policy, No personal expense has been claimed in this claim.</t>
  </si>
  <si>
    <t>Employee Signature</t>
  </si>
  <si>
    <t>Important :</t>
  </si>
  <si>
    <t>2. IT Hardware, Repair or Consumables bills should be supported with IT approval mail</t>
  </si>
  <si>
    <t>3. Project related expense should be supported with BU Head approval mail</t>
  </si>
  <si>
    <t>4. Please attach original bills pertaining to current fiscal year only like Apr-Mar otherwise same are liable for rejection.</t>
  </si>
  <si>
    <t>5. Claimed amount is subject to your limits approved with HR / Finance.  Approval matrix available on LMS / FlexiEli</t>
  </si>
  <si>
    <t>NA</t>
  </si>
  <si>
    <t>1. Air Fare claim should be supported with Admin approval mail along with original boarding pass</t>
  </si>
  <si>
    <t>BUSINESS EXPENSES</t>
  </si>
  <si>
    <t>UPI MINI</t>
  </si>
  <si>
    <t>VARANASI</t>
  </si>
  <si>
    <t>VIVEK SHUKLA</t>
  </si>
  <si>
    <t>AMOUNT</t>
  </si>
  <si>
    <t>CANTT TO ASHAPUR</t>
  </si>
  <si>
    <t>LAHARTARA TO HARUUA</t>
  </si>
  <si>
    <t>LAHARTARA TO  MUGALSARAI</t>
  </si>
  <si>
    <t>CANTT TO BABATPUR</t>
  </si>
  <si>
    <t>CANTT TO RAMNAGAR</t>
  </si>
  <si>
    <t>LAHARTARA TO MUGALSARAI</t>
  </si>
  <si>
    <t>MANDUADIH  TO SARNATH</t>
  </si>
  <si>
    <t>MANDUADIH TO ADALPURA</t>
  </si>
  <si>
    <t>MANDUDIH TO RAJATALAB</t>
  </si>
  <si>
    <t>MANDUADIH TO GAURA</t>
  </si>
  <si>
    <t>MANDUADIH TO AKELAWA</t>
  </si>
  <si>
    <t>MANDUDIH TO KAITHI</t>
  </si>
  <si>
    <t>MANDUADIH TO BABATPUR</t>
  </si>
  <si>
    <t>MANDUADIH TO CHANDAULI</t>
  </si>
  <si>
    <t>20/03/26</t>
  </si>
  <si>
    <t>SUDHANSHU SRIVASTAVA</t>
  </si>
  <si>
    <t>SSM</t>
  </si>
  <si>
    <t>Emp ID</t>
  </si>
  <si>
    <t>claim january 2026</t>
  </si>
  <si>
    <t>TOTAL</t>
  </si>
  <si>
    <t>24,84.00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</si>
</sst>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5" x14ac:knownFonts="1">
    <font>
      <sz val="11"/>
      <name val="Calibri"/>
    </font>
    <font>
      <sz val="11"/>
      <color rgb="FF000000"/>
      <name val="Times New Roman"/>
    </font>
    <font>
      <b/>
      <sz val="18"/>
      <color rgb="FF000000"/>
      <name val="Times New Roman"/>
    </font>
    <font>
      <b/>
      <sz val="14"/>
      <color rgb="FF000000"/>
      <name val="Times New Roman"/>
    </font>
    <font>
      <b/>
      <sz val="20"/>
      <color rgb="FF000000"/>
      <name val="Times New Roman"/>
    </font>
    <font>
      <b/>
      <sz val="11"/>
      <color rgb="FF000000"/>
      <name val="Times New Roman"/>
    </font>
    <font>
      <sz val="10"/>
      <color indexed="8"/>
      <name val="Times New Roman"/>
    </font>
    <font>
      <b/>
      <sz val="14"/>
      <color rgb="FFFF0000"/>
      <name val="Times New Roman"/>
    </font>
    <font>
      <b/>
      <sz val="12"/>
      <color rgb="FFFF0000"/>
      <name val="Times New Roman"/>
    </font>
    <font>
      <b/>
      <sz val="11"/>
      <color rgb="FFFF0000"/>
      <name val="Times New Roman"/>
    </font>
    <font>
      <sz val="10"/>
      <color rgb="FF000000"/>
      <name val="Times New Roman"/>
    </font>
    <font>
      <b/>
      <sz val="10"/>
      <color indexed="9"/>
      <name val="Times New Roman"/>
    </font>
    <font>
      <sz val="11"/>
      <color rgb="FF000000"/>
      <name val="Calibri"/>
    </font>
    <font>
      <b/>
      <sz val="10"/>
      <color rgb="FFFF0000"/>
      <name val="Times New Roman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0070C0"/>
      </patternFill>
    </fill>
    <fill>
      <patternFill patternType="solid">
        <fgColor rgb="FFFFBF00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4" fillId="0" borderId="0">
      <protection locked="0"/>
    </xf>
    <xf numFmtId="164" fontId="14" fillId="0" borderId="0">
      <protection locked="0"/>
    </xf>
  </cellStyleXfs>
  <cellXfs count="64">
    <xf numFmtId="0" fontId="0" fillId="0" borderId="0" xfId="0">
      <alignment vertical="center"/>
    </xf>
    <xf numFmtId="0" fontId="1" fillId="0" borderId="0" xfId="1" applyFont="1" applyAlignment="1" applyProtection="1">
      <alignment vertical="center"/>
    </xf>
    <xf numFmtId="0" fontId="1" fillId="0" borderId="0" xfId="1" applyFont="1" applyAlignment="1" applyProtection="1">
      <alignment horizontal="center" vertical="center"/>
    </xf>
    <xf numFmtId="0" fontId="2" fillId="0" borderId="0" xfId="1" applyFont="1" applyAlignment="1" applyProtection="1">
      <alignment vertical="center"/>
    </xf>
    <xf numFmtId="0" fontId="3" fillId="0" borderId="0" xfId="1" applyFont="1" applyAlignment="1" applyProtection="1">
      <alignment vertical="center"/>
    </xf>
    <xf numFmtId="0" fontId="1" fillId="2" borderId="4" xfId="1" applyFont="1" applyFill="1" applyBorder="1" applyAlignment="1" applyProtection="1">
      <alignment vertical="center"/>
    </xf>
    <xf numFmtId="0" fontId="1" fillId="2" borderId="5" xfId="1" applyFont="1" applyFill="1" applyBorder="1" applyAlignment="1" applyProtection="1">
      <alignment vertical="center"/>
    </xf>
    <xf numFmtId="0" fontId="1" fillId="2" borderId="6" xfId="1" applyFont="1" applyFill="1" applyBorder="1" applyAlignment="1" applyProtection="1">
      <alignment vertical="center"/>
    </xf>
    <xf numFmtId="0" fontId="1" fillId="2" borderId="6" xfId="1" applyFont="1" applyFill="1" applyBorder="1" applyAlignment="1" applyProtection="1">
      <alignment horizontal="center" vertical="center"/>
    </xf>
    <xf numFmtId="0" fontId="1" fillId="2" borderId="7" xfId="1" applyFont="1" applyFill="1" applyBorder="1" applyAlignment="1" applyProtection="1">
      <alignment vertical="center"/>
    </xf>
    <xf numFmtId="0" fontId="5" fillId="3" borderId="7" xfId="1" applyFont="1" applyFill="1" applyBorder="1" applyAlignment="1" applyProtection="1">
      <alignment vertical="center"/>
    </xf>
    <xf numFmtId="0" fontId="1" fillId="2" borderId="8" xfId="1" applyFont="1" applyFill="1" applyBorder="1" applyAlignment="1" applyProtection="1">
      <alignment vertical="center"/>
    </xf>
    <xf numFmtId="0" fontId="5" fillId="4" borderId="4" xfId="1" applyFont="1" applyFill="1" applyBorder="1" applyAlignment="1" applyProtection="1">
      <alignment horizontal="center" vertical="center"/>
    </xf>
    <xf numFmtId="0" fontId="5" fillId="4" borderId="4" xfId="1" applyFont="1" applyFill="1" applyBorder="1" applyAlignment="1" applyProtection="1">
      <alignment horizontal="center" vertical="center" wrapText="1"/>
    </xf>
    <xf numFmtId="0" fontId="1" fillId="0" borderId="4" xfId="1" applyFont="1" applyBorder="1" applyAlignment="1" applyProtection="1">
      <alignment vertical="center"/>
    </xf>
    <xf numFmtId="164" fontId="1" fillId="0" borderId="4" xfId="2" applyFont="1" applyBorder="1" applyAlignment="1" applyProtection="1">
      <alignment vertical="center"/>
      <protection hidden="1"/>
    </xf>
    <xf numFmtId="164" fontId="1" fillId="0" borderId="4" xfId="2" applyFont="1" applyBorder="1" applyAlignment="1" applyProtection="1">
      <alignment horizontal="right" vertical="center"/>
      <protection hidden="1"/>
    </xf>
    <xf numFmtId="0" fontId="1" fillId="5" borderId="4" xfId="1" applyFont="1" applyFill="1" applyBorder="1" applyAlignment="1">
      <alignment horizontal="left" vertical="center"/>
      <protection locked="0"/>
    </xf>
    <xf numFmtId="164" fontId="6" fillId="0" borderId="9" xfId="2" applyFont="1" applyBorder="1" applyProtection="1"/>
    <xf numFmtId="0" fontId="5" fillId="0" borderId="0" xfId="1" applyFont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15" fontId="1" fillId="5" borderId="4" xfId="1" applyNumberFormat="1" applyFont="1" applyFill="1" applyBorder="1" applyAlignment="1">
      <alignment horizontal="left" vertical="center"/>
      <protection locked="0"/>
    </xf>
    <xf numFmtId="0" fontId="1" fillId="0" borderId="4" xfId="1" applyFont="1" applyBorder="1" applyAlignment="1" applyProtection="1">
      <alignment horizontal="left" vertical="center"/>
    </xf>
    <xf numFmtId="164" fontId="5" fillId="4" borderId="4" xfId="2" applyFont="1" applyFill="1" applyBorder="1" applyAlignment="1" applyProtection="1">
      <alignment horizontal="right" vertical="center"/>
    </xf>
    <xf numFmtId="0" fontId="1" fillId="2" borderId="4" xfId="1" applyFont="1" applyFill="1" applyBorder="1" applyAlignment="1" applyProtection="1">
      <alignment horizontal="center" vertical="center"/>
    </xf>
    <xf numFmtId="0" fontId="7" fillId="0" borderId="0" xfId="1" applyFont="1" applyAlignment="1" applyProtection="1">
      <alignment vertical="center"/>
    </xf>
    <xf numFmtId="0" fontId="9" fillId="0" borderId="0" xfId="1" applyFont="1" applyAlignment="1" applyProtection="1">
      <alignment vertical="center"/>
    </xf>
    <xf numFmtId="0" fontId="10" fillId="0" borderId="0" xfId="1" applyFont="1" applyAlignment="1" applyProtection="1">
      <alignment vertical="center"/>
    </xf>
    <xf numFmtId="0" fontId="1" fillId="0" borderId="10" xfId="1" applyFont="1" applyBorder="1" applyAlignment="1" applyProtection="1">
      <alignment horizontal="right" vertical="center"/>
    </xf>
    <xf numFmtId="0" fontId="5" fillId="0" borderId="11" xfId="1" applyFont="1" applyBorder="1" applyAlignment="1" applyProtection="1">
      <alignment horizontal="right" vertical="center"/>
    </xf>
    <xf numFmtId="0" fontId="5" fillId="0" borderId="0" xfId="1" applyFont="1" applyAlignment="1" applyProtection="1">
      <alignment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  <protection hidden="1"/>
    </xf>
    <xf numFmtId="164" fontId="6" fillId="0" borderId="4" xfId="2" applyFont="1" applyBorder="1" applyAlignment="1" applyProtection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7" borderId="7" xfId="0" applyFont="1" applyFill="1" applyBorder="1" applyAlignment="1">
      <alignment horizontal="left"/>
    </xf>
    <xf numFmtId="0" fontId="6" fillId="7" borderId="9" xfId="0" applyFont="1" applyFill="1" applyBorder="1" applyAlignment="1">
      <alignment horizontal="center"/>
    </xf>
    <xf numFmtId="0" fontId="6" fillId="7" borderId="9" xfId="0" applyFont="1" applyFill="1" applyBorder="1" applyAlignment="1"/>
    <xf numFmtId="0" fontId="6" fillId="7" borderId="9" xfId="0" applyFont="1" applyFill="1" applyBorder="1" applyAlignment="1">
      <alignment horizontal="left"/>
    </xf>
    <xf numFmtId="0" fontId="6" fillId="7" borderId="8" xfId="0" applyFont="1" applyFill="1" applyBorder="1" applyAlignment="1"/>
    <xf numFmtId="0" fontId="8" fillId="0" borderId="0" xfId="1" applyFont="1" applyAlignment="1" applyProtection="1">
      <alignment horizontal="left" vertical="top" wrapText="1"/>
    </xf>
    <xf numFmtId="0" fontId="4" fillId="0" borderId="1" xfId="1" applyFont="1" applyBorder="1" applyAlignment="1" applyProtection="1">
      <alignment horizontal="center" vertical="center"/>
    </xf>
    <xf numFmtId="0" fontId="4" fillId="0" borderId="2" xfId="1" applyFont="1" applyBorder="1" applyAlignment="1" applyProtection="1">
      <alignment horizontal="center" vertical="center"/>
    </xf>
    <xf numFmtId="0" fontId="4" fillId="0" borderId="3" xfId="1" applyFont="1" applyBorder="1" applyAlignment="1" applyProtection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" fillId="3" borderId="4" xfId="1" applyFont="1" applyFill="1" applyBorder="1" applyAlignment="1" applyProtection="1">
      <alignment vertical="center"/>
    </xf>
    <xf numFmtId="0" fontId="1" fillId="0" borderId="6" xfId="1" applyFont="1" applyBorder="1" applyAlignment="1" applyProtection="1">
      <alignment vertical="center"/>
    </xf>
    <xf numFmtId="0" fontId="1" fillId="5" borderId="6" xfId="1" applyFont="1" applyFill="1" applyBorder="1" applyAlignment="1">
      <alignment horizontal="left" vertical="center"/>
      <protection locked="0"/>
    </xf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C9" sqref="C9"/>
    </sheetView>
  </sheetViews>
  <sheetFormatPr defaultColWidth="10" defaultRowHeight="15" x14ac:dyDescent="0.25"/>
  <cols>
    <col min="1" max="1" width="21.28515625" bestFit="1" customWidth="1"/>
    <col min="2" max="2" width="23.42578125" bestFit="1" customWidth="1"/>
    <col min="3" max="3" width="34.42578125" bestFit="1" customWidth="1"/>
    <col min="4" max="4" width="4.5703125" bestFit="1" customWidth="1"/>
    <col min="5" max="5" width="11.140625" bestFit="1" customWidth="1"/>
  </cols>
  <sheetData>
    <row r="1" spans="1:6" ht="25.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2" t="s">
        <v>44</v>
      </c>
    </row>
    <row r="2" spans="1:6" x14ac:dyDescent="0.25">
      <c r="A2" t="s">
        <v>5</v>
      </c>
      <c r="B2" t="s">
        <v>6</v>
      </c>
      <c r="C2" t="s">
        <v>7</v>
      </c>
      <c r="E2" s="33" t="s">
        <v>8</v>
      </c>
    </row>
    <row r="3" spans="1:6" x14ac:dyDescent="0.25">
      <c r="A3" t="s">
        <v>9</v>
      </c>
      <c r="B3" t="s">
        <v>10</v>
      </c>
      <c r="C3" t="s">
        <v>11</v>
      </c>
      <c r="E3" s="33" t="s">
        <v>12</v>
      </c>
    </row>
    <row r="4" spans="1:6" x14ac:dyDescent="0.25">
      <c r="A4" t="s">
        <v>13</v>
      </c>
      <c r="B4" t="s">
        <v>14</v>
      </c>
      <c r="C4" t="s">
        <v>15</v>
      </c>
      <c r="E4" s="33"/>
    </row>
    <row r="5" spans="1:6" x14ac:dyDescent="0.25">
      <c r="A5" t="s">
        <v>16</v>
      </c>
      <c r="B5" t="s">
        <v>17</v>
      </c>
      <c r="C5" t="s">
        <v>18</v>
      </c>
      <c r="E5" s="33"/>
    </row>
    <row r="6" spans="1:6" x14ac:dyDescent="0.25">
      <c r="A6" t="s">
        <v>19</v>
      </c>
      <c r="B6" t="s">
        <v>20</v>
      </c>
      <c r="C6" t="s">
        <v>21</v>
      </c>
      <c r="D6">
        <v>10</v>
      </c>
      <c r="E6" s="33"/>
    </row>
    <row r="7" spans="1:6" x14ac:dyDescent="0.25">
      <c r="A7" t="s">
        <v>22</v>
      </c>
      <c r="B7" t="s">
        <v>23</v>
      </c>
      <c r="C7" t="s">
        <v>24</v>
      </c>
      <c r="D7">
        <v>6</v>
      </c>
      <c r="E7" s="33"/>
    </row>
    <row r="8" spans="1:6" x14ac:dyDescent="0.25">
      <c r="A8" t="s">
        <v>25</v>
      </c>
      <c r="C8" t="s">
        <v>68</v>
      </c>
      <c r="E8" s="33"/>
    </row>
    <row r="9" spans="1:6" x14ac:dyDescent="0.25">
      <c r="A9" t="s">
        <v>26</v>
      </c>
      <c r="E9" s="33"/>
    </row>
    <row r="10" spans="1:6" x14ac:dyDescent="0.25">
      <c r="A10" t="s">
        <v>27</v>
      </c>
      <c r="E10" s="33"/>
    </row>
    <row r="11" spans="1:6" x14ac:dyDescent="0.25">
      <c r="A11" t="s">
        <v>28</v>
      </c>
      <c r="E11" s="33"/>
    </row>
    <row r="12" spans="1:6" x14ac:dyDescent="0.25">
      <c r="A12" t="s">
        <v>29</v>
      </c>
      <c r="E1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E737-6ABE-432E-BD3B-2B396DE31089}">
  <dimension ref="A1:H31"/>
  <sheetViews>
    <sheetView topLeftCell="A7" zoomScale="90" workbookViewId="0">
      <selection activeCell="M14" sqref="M14"/>
    </sheetView>
  </sheetViews>
  <sheetFormatPr defaultColWidth="9" defaultRowHeight="15" x14ac:dyDescent="0.25"/>
  <cols>
    <col min="1" max="1" width="0.42578125" style="1" customWidth="1"/>
    <col min="2" max="2" width="19.85546875" style="1" customWidth="1"/>
    <col min="3" max="3" width="28.42578125" style="1" customWidth="1"/>
    <col min="4" max="4" width="0.42578125" style="1" customWidth="1"/>
    <col min="5" max="5" width="24.5703125" style="2" customWidth="1"/>
    <col min="6" max="6" width="20" style="2" customWidth="1"/>
    <col min="7" max="7" width="18.5703125" style="1" customWidth="1"/>
    <col min="8" max="8" width="0.42578125" style="1" customWidth="1"/>
    <col min="9" max="256" width="9" style="1"/>
    <col min="257" max="257" width="0.42578125" style="1" customWidth="1"/>
    <col min="258" max="258" width="19.85546875" style="1" customWidth="1"/>
    <col min="259" max="259" width="28.42578125" style="1" customWidth="1"/>
    <col min="260" max="260" width="0.42578125" style="1" customWidth="1"/>
    <col min="261" max="261" width="24.5703125" style="1" customWidth="1"/>
    <col min="262" max="263" width="18.5703125" style="1" customWidth="1"/>
    <col min="264" max="264" width="0.42578125" style="1" customWidth="1"/>
    <col min="265" max="512" width="9" style="1"/>
    <col min="513" max="513" width="0.42578125" style="1" customWidth="1"/>
    <col min="514" max="514" width="19.85546875" style="1" customWidth="1"/>
    <col min="515" max="515" width="28.42578125" style="1" customWidth="1"/>
    <col min="516" max="516" width="0.42578125" style="1" customWidth="1"/>
    <col min="517" max="517" width="24.5703125" style="1" customWidth="1"/>
    <col min="518" max="519" width="18.5703125" style="1" customWidth="1"/>
    <col min="520" max="520" width="0.42578125" style="1" customWidth="1"/>
    <col min="521" max="768" width="9" style="1"/>
    <col min="769" max="769" width="0.42578125" style="1" customWidth="1"/>
    <col min="770" max="770" width="19.85546875" style="1" customWidth="1"/>
    <col min="771" max="771" width="28.42578125" style="1" customWidth="1"/>
    <col min="772" max="772" width="0.42578125" style="1" customWidth="1"/>
    <col min="773" max="773" width="24.5703125" style="1" customWidth="1"/>
    <col min="774" max="775" width="18.5703125" style="1" customWidth="1"/>
    <col min="776" max="776" width="0.42578125" style="1" customWidth="1"/>
    <col min="777" max="1024" width="9" style="1"/>
    <col min="1025" max="1025" width="0.42578125" style="1" customWidth="1"/>
    <col min="1026" max="1026" width="19.85546875" style="1" customWidth="1"/>
    <col min="1027" max="1027" width="28.42578125" style="1" customWidth="1"/>
    <col min="1028" max="1028" width="0.42578125" style="1" customWidth="1"/>
    <col min="1029" max="1029" width="24.5703125" style="1" customWidth="1"/>
    <col min="1030" max="1031" width="18.5703125" style="1" customWidth="1"/>
    <col min="1032" max="1032" width="0.42578125" style="1" customWidth="1"/>
    <col min="1033" max="1280" width="9" style="1"/>
    <col min="1281" max="1281" width="0.42578125" style="1" customWidth="1"/>
    <col min="1282" max="1282" width="19.85546875" style="1" customWidth="1"/>
    <col min="1283" max="1283" width="28.42578125" style="1" customWidth="1"/>
    <col min="1284" max="1284" width="0.42578125" style="1" customWidth="1"/>
    <col min="1285" max="1285" width="24.5703125" style="1" customWidth="1"/>
    <col min="1286" max="1287" width="18.5703125" style="1" customWidth="1"/>
    <col min="1288" max="1288" width="0.42578125" style="1" customWidth="1"/>
    <col min="1289" max="1536" width="9" style="1"/>
    <col min="1537" max="1537" width="0.42578125" style="1" customWidth="1"/>
    <col min="1538" max="1538" width="19.85546875" style="1" customWidth="1"/>
    <col min="1539" max="1539" width="28.42578125" style="1" customWidth="1"/>
    <col min="1540" max="1540" width="0.42578125" style="1" customWidth="1"/>
    <col min="1541" max="1541" width="24.5703125" style="1" customWidth="1"/>
    <col min="1542" max="1543" width="18.5703125" style="1" customWidth="1"/>
    <col min="1544" max="1544" width="0.42578125" style="1" customWidth="1"/>
    <col min="1545" max="1792" width="9" style="1"/>
    <col min="1793" max="1793" width="0.42578125" style="1" customWidth="1"/>
    <col min="1794" max="1794" width="19.85546875" style="1" customWidth="1"/>
    <col min="1795" max="1795" width="28.42578125" style="1" customWidth="1"/>
    <col min="1796" max="1796" width="0.42578125" style="1" customWidth="1"/>
    <col min="1797" max="1797" width="24.5703125" style="1" customWidth="1"/>
    <col min="1798" max="1799" width="18.5703125" style="1" customWidth="1"/>
    <col min="1800" max="1800" width="0.42578125" style="1" customWidth="1"/>
    <col min="1801" max="2048" width="9" style="1"/>
    <col min="2049" max="2049" width="0.42578125" style="1" customWidth="1"/>
    <col min="2050" max="2050" width="19.85546875" style="1" customWidth="1"/>
    <col min="2051" max="2051" width="28.42578125" style="1" customWidth="1"/>
    <col min="2052" max="2052" width="0.42578125" style="1" customWidth="1"/>
    <col min="2053" max="2053" width="24.5703125" style="1" customWidth="1"/>
    <col min="2054" max="2055" width="18.5703125" style="1" customWidth="1"/>
    <col min="2056" max="2056" width="0.42578125" style="1" customWidth="1"/>
    <col min="2057" max="2304" width="9" style="1"/>
    <col min="2305" max="2305" width="0.42578125" style="1" customWidth="1"/>
    <col min="2306" max="2306" width="19.85546875" style="1" customWidth="1"/>
    <col min="2307" max="2307" width="28.42578125" style="1" customWidth="1"/>
    <col min="2308" max="2308" width="0.42578125" style="1" customWidth="1"/>
    <col min="2309" max="2309" width="24.5703125" style="1" customWidth="1"/>
    <col min="2310" max="2311" width="18.5703125" style="1" customWidth="1"/>
    <col min="2312" max="2312" width="0.42578125" style="1" customWidth="1"/>
    <col min="2313" max="2560" width="9" style="1"/>
    <col min="2561" max="2561" width="0.42578125" style="1" customWidth="1"/>
    <col min="2562" max="2562" width="19.85546875" style="1" customWidth="1"/>
    <col min="2563" max="2563" width="28.42578125" style="1" customWidth="1"/>
    <col min="2564" max="2564" width="0.42578125" style="1" customWidth="1"/>
    <col min="2565" max="2565" width="24.5703125" style="1" customWidth="1"/>
    <col min="2566" max="2567" width="18.5703125" style="1" customWidth="1"/>
    <col min="2568" max="2568" width="0.42578125" style="1" customWidth="1"/>
    <col min="2569" max="2816" width="9" style="1"/>
    <col min="2817" max="2817" width="0.42578125" style="1" customWidth="1"/>
    <col min="2818" max="2818" width="19.85546875" style="1" customWidth="1"/>
    <col min="2819" max="2819" width="28.42578125" style="1" customWidth="1"/>
    <col min="2820" max="2820" width="0.42578125" style="1" customWidth="1"/>
    <col min="2821" max="2821" width="24.5703125" style="1" customWidth="1"/>
    <col min="2822" max="2823" width="18.5703125" style="1" customWidth="1"/>
    <col min="2824" max="2824" width="0.42578125" style="1" customWidth="1"/>
    <col min="2825" max="3072" width="9" style="1"/>
    <col min="3073" max="3073" width="0.42578125" style="1" customWidth="1"/>
    <col min="3074" max="3074" width="19.85546875" style="1" customWidth="1"/>
    <col min="3075" max="3075" width="28.42578125" style="1" customWidth="1"/>
    <col min="3076" max="3076" width="0.42578125" style="1" customWidth="1"/>
    <col min="3077" max="3077" width="24.5703125" style="1" customWidth="1"/>
    <col min="3078" max="3079" width="18.5703125" style="1" customWidth="1"/>
    <col min="3080" max="3080" width="0.42578125" style="1" customWidth="1"/>
    <col min="3081" max="3328" width="9" style="1"/>
    <col min="3329" max="3329" width="0.42578125" style="1" customWidth="1"/>
    <col min="3330" max="3330" width="19.85546875" style="1" customWidth="1"/>
    <col min="3331" max="3331" width="28.42578125" style="1" customWidth="1"/>
    <col min="3332" max="3332" width="0.42578125" style="1" customWidth="1"/>
    <col min="3333" max="3333" width="24.5703125" style="1" customWidth="1"/>
    <col min="3334" max="3335" width="18.5703125" style="1" customWidth="1"/>
    <col min="3336" max="3336" width="0.42578125" style="1" customWidth="1"/>
    <col min="3337" max="3584" width="9" style="1"/>
    <col min="3585" max="3585" width="0.42578125" style="1" customWidth="1"/>
    <col min="3586" max="3586" width="19.85546875" style="1" customWidth="1"/>
    <col min="3587" max="3587" width="28.42578125" style="1" customWidth="1"/>
    <col min="3588" max="3588" width="0.42578125" style="1" customWidth="1"/>
    <col min="3589" max="3589" width="24.5703125" style="1" customWidth="1"/>
    <col min="3590" max="3591" width="18.5703125" style="1" customWidth="1"/>
    <col min="3592" max="3592" width="0.42578125" style="1" customWidth="1"/>
    <col min="3593" max="3840" width="9" style="1"/>
    <col min="3841" max="3841" width="0.42578125" style="1" customWidth="1"/>
    <col min="3842" max="3842" width="19.85546875" style="1" customWidth="1"/>
    <col min="3843" max="3843" width="28.42578125" style="1" customWidth="1"/>
    <col min="3844" max="3844" width="0.42578125" style="1" customWidth="1"/>
    <col min="3845" max="3845" width="24.5703125" style="1" customWidth="1"/>
    <col min="3846" max="3847" width="18.5703125" style="1" customWidth="1"/>
    <col min="3848" max="3848" width="0.42578125" style="1" customWidth="1"/>
    <col min="3849" max="4096" width="9" style="1"/>
    <col min="4097" max="4097" width="0.42578125" style="1" customWidth="1"/>
    <col min="4098" max="4098" width="19.85546875" style="1" customWidth="1"/>
    <col min="4099" max="4099" width="28.42578125" style="1" customWidth="1"/>
    <col min="4100" max="4100" width="0.42578125" style="1" customWidth="1"/>
    <col min="4101" max="4101" width="24.5703125" style="1" customWidth="1"/>
    <col min="4102" max="4103" width="18.5703125" style="1" customWidth="1"/>
    <col min="4104" max="4104" width="0.42578125" style="1" customWidth="1"/>
    <col min="4105" max="4352" width="9" style="1"/>
    <col min="4353" max="4353" width="0.42578125" style="1" customWidth="1"/>
    <col min="4354" max="4354" width="19.85546875" style="1" customWidth="1"/>
    <col min="4355" max="4355" width="28.42578125" style="1" customWidth="1"/>
    <col min="4356" max="4356" width="0.42578125" style="1" customWidth="1"/>
    <col min="4357" max="4357" width="24.5703125" style="1" customWidth="1"/>
    <col min="4358" max="4359" width="18.5703125" style="1" customWidth="1"/>
    <col min="4360" max="4360" width="0.42578125" style="1" customWidth="1"/>
    <col min="4361" max="4608" width="9" style="1"/>
    <col min="4609" max="4609" width="0.42578125" style="1" customWidth="1"/>
    <col min="4610" max="4610" width="19.85546875" style="1" customWidth="1"/>
    <col min="4611" max="4611" width="28.42578125" style="1" customWidth="1"/>
    <col min="4612" max="4612" width="0.42578125" style="1" customWidth="1"/>
    <col min="4613" max="4613" width="24.5703125" style="1" customWidth="1"/>
    <col min="4614" max="4615" width="18.5703125" style="1" customWidth="1"/>
    <col min="4616" max="4616" width="0.42578125" style="1" customWidth="1"/>
    <col min="4617" max="4864" width="9" style="1"/>
    <col min="4865" max="4865" width="0.42578125" style="1" customWidth="1"/>
    <col min="4866" max="4866" width="19.85546875" style="1" customWidth="1"/>
    <col min="4867" max="4867" width="28.42578125" style="1" customWidth="1"/>
    <col min="4868" max="4868" width="0.42578125" style="1" customWidth="1"/>
    <col min="4869" max="4869" width="24.5703125" style="1" customWidth="1"/>
    <col min="4870" max="4871" width="18.5703125" style="1" customWidth="1"/>
    <col min="4872" max="4872" width="0.42578125" style="1" customWidth="1"/>
    <col min="4873" max="5120" width="9" style="1"/>
    <col min="5121" max="5121" width="0.42578125" style="1" customWidth="1"/>
    <col min="5122" max="5122" width="19.85546875" style="1" customWidth="1"/>
    <col min="5123" max="5123" width="28.42578125" style="1" customWidth="1"/>
    <col min="5124" max="5124" width="0.42578125" style="1" customWidth="1"/>
    <col min="5125" max="5125" width="24.5703125" style="1" customWidth="1"/>
    <col min="5126" max="5127" width="18.5703125" style="1" customWidth="1"/>
    <col min="5128" max="5128" width="0.42578125" style="1" customWidth="1"/>
    <col min="5129" max="5376" width="9" style="1"/>
    <col min="5377" max="5377" width="0.42578125" style="1" customWidth="1"/>
    <col min="5378" max="5378" width="19.85546875" style="1" customWidth="1"/>
    <col min="5379" max="5379" width="28.42578125" style="1" customWidth="1"/>
    <col min="5380" max="5380" width="0.42578125" style="1" customWidth="1"/>
    <col min="5381" max="5381" width="24.5703125" style="1" customWidth="1"/>
    <col min="5382" max="5383" width="18.5703125" style="1" customWidth="1"/>
    <col min="5384" max="5384" width="0.42578125" style="1" customWidth="1"/>
    <col min="5385" max="5632" width="9" style="1"/>
    <col min="5633" max="5633" width="0.42578125" style="1" customWidth="1"/>
    <col min="5634" max="5634" width="19.85546875" style="1" customWidth="1"/>
    <col min="5635" max="5635" width="28.42578125" style="1" customWidth="1"/>
    <col min="5636" max="5636" width="0.42578125" style="1" customWidth="1"/>
    <col min="5637" max="5637" width="24.5703125" style="1" customWidth="1"/>
    <col min="5638" max="5639" width="18.5703125" style="1" customWidth="1"/>
    <col min="5640" max="5640" width="0.42578125" style="1" customWidth="1"/>
    <col min="5641" max="5888" width="9" style="1"/>
    <col min="5889" max="5889" width="0.42578125" style="1" customWidth="1"/>
    <col min="5890" max="5890" width="19.85546875" style="1" customWidth="1"/>
    <col min="5891" max="5891" width="28.42578125" style="1" customWidth="1"/>
    <col min="5892" max="5892" width="0.42578125" style="1" customWidth="1"/>
    <col min="5893" max="5893" width="24.5703125" style="1" customWidth="1"/>
    <col min="5894" max="5895" width="18.5703125" style="1" customWidth="1"/>
    <col min="5896" max="5896" width="0.42578125" style="1" customWidth="1"/>
    <col min="5897" max="6144" width="9" style="1"/>
    <col min="6145" max="6145" width="0.42578125" style="1" customWidth="1"/>
    <col min="6146" max="6146" width="19.85546875" style="1" customWidth="1"/>
    <col min="6147" max="6147" width="28.42578125" style="1" customWidth="1"/>
    <col min="6148" max="6148" width="0.42578125" style="1" customWidth="1"/>
    <col min="6149" max="6149" width="24.5703125" style="1" customWidth="1"/>
    <col min="6150" max="6151" width="18.5703125" style="1" customWidth="1"/>
    <col min="6152" max="6152" width="0.42578125" style="1" customWidth="1"/>
    <col min="6153" max="6400" width="9" style="1"/>
    <col min="6401" max="6401" width="0.42578125" style="1" customWidth="1"/>
    <col min="6402" max="6402" width="19.85546875" style="1" customWidth="1"/>
    <col min="6403" max="6403" width="28.42578125" style="1" customWidth="1"/>
    <col min="6404" max="6404" width="0.42578125" style="1" customWidth="1"/>
    <col min="6405" max="6405" width="24.5703125" style="1" customWidth="1"/>
    <col min="6406" max="6407" width="18.5703125" style="1" customWidth="1"/>
    <col min="6408" max="6408" width="0.42578125" style="1" customWidth="1"/>
    <col min="6409" max="6656" width="9" style="1"/>
    <col min="6657" max="6657" width="0.42578125" style="1" customWidth="1"/>
    <col min="6658" max="6658" width="19.85546875" style="1" customWidth="1"/>
    <col min="6659" max="6659" width="28.42578125" style="1" customWidth="1"/>
    <col min="6660" max="6660" width="0.42578125" style="1" customWidth="1"/>
    <col min="6661" max="6661" width="24.5703125" style="1" customWidth="1"/>
    <col min="6662" max="6663" width="18.5703125" style="1" customWidth="1"/>
    <col min="6664" max="6664" width="0.42578125" style="1" customWidth="1"/>
    <col min="6665" max="6912" width="9" style="1"/>
    <col min="6913" max="6913" width="0.42578125" style="1" customWidth="1"/>
    <col min="6914" max="6914" width="19.85546875" style="1" customWidth="1"/>
    <col min="6915" max="6915" width="28.42578125" style="1" customWidth="1"/>
    <col min="6916" max="6916" width="0.42578125" style="1" customWidth="1"/>
    <col min="6917" max="6917" width="24.5703125" style="1" customWidth="1"/>
    <col min="6918" max="6919" width="18.5703125" style="1" customWidth="1"/>
    <col min="6920" max="6920" width="0.42578125" style="1" customWidth="1"/>
    <col min="6921" max="7168" width="9" style="1"/>
    <col min="7169" max="7169" width="0.42578125" style="1" customWidth="1"/>
    <col min="7170" max="7170" width="19.85546875" style="1" customWidth="1"/>
    <col min="7171" max="7171" width="28.42578125" style="1" customWidth="1"/>
    <col min="7172" max="7172" width="0.42578125" style="1" customWidth="1"/>
    <col min="7173" max="7173" width="24.5703125" style="1" customWidth="1"/>
    <col min="7174" max="7175" width="18.5703125" style="1" customWidth="1"/>
    <col min="7176" max="7176" width="0.42578125" style="1" customWidth="1"/>
    <col min="7177" max="7424" width="9" style="1"/>
    <col min="7425" max="7425" width="0.42578125" style="1" customWidth="1"/>
    <col min="7426" max="7426" width="19.85546875" style="1" customWidth="1"/>
    <col min="7427" max="7427" width="28.42578125" style="1" customWidth="1"/>
    <col min="7428" max="7428" width="0.42578125" style="1" customWidth="1"/>
    <col min="7429" max="7429" width="24.5703125" style="1" customWidth="1"/>
    <col min="7430" max="7431" width="18.5703125" style="1" customWidth="1"/>
    <col min="7432" max="7432" width="0.42578125" style="1" customWidth="1"/>
    <col min="7433" max="7680" width="9" style="1"/>
    <col min="7681" max="7681" width="0.42578125" style="1" customWidth="1"/>
    <col min="7682" max="7682" width="19.85546875" style="1" customWidth="1"/>
    <col min="7683" max="7683" width="28.42578125" style="1" customWidth="1"/>
    <col min="7684" max="7684" width="0.42578125" style="1" customWidth="1"/>
    <col min="7685" max="7685" width="24.5703125" style="1" customWidth="1"/>
    <col min="7686" max="7687" width="18.5703125" style="1" customWidth="1"/>
    <col min="7688" max="7688" width="0.42578125" style="1" customWidth="1"/>
    <col min="7689" max="7936" width="9" style="1"/>
    <col min="7937" max="7937" width="0.42578125" style="1" customWidth="1"/>
    <col min="7938" max="7938" width="19.85546875" style="1" customWidth="1"/>
    <col min="7939" max="7939" width="28.42578125" style="1" customWidth="1"/>
    <col min="7940" max="7940" width="0.42578125" style="1" customWidth="1"/>
    <col min="7941" max="7941" width="24.5703125" style="1" customWidth="1"/>
    <col min="7942" max="7943" width="18.5703125" style="1" customWidth="1"/>
    <col min="7944" max="7944" width="0.42578125" style="1" customWidth="1"/>
    <col min="7945" max="8192" width="9" style="1"/>
    <col min="8193" max="8193" width="0.42578125" style="1" customWidth="1"/>
    <col min="8194" max="8194" width="19.85546875" style="1" customWidth="1"/>
    <col min="8195" max="8195" width="28.42578125" style="1" customWidth="1"/>
    <col min="8196" max="8196" width="0.42578125" style="1" customWidth="1"/>
    <col min="8197" max="8197" width="24.5703125" style="1" customWidth="1"/>
    <col min="8198" max="8199" width="18.5703125" style="1" customWidth="1"/>
    <col min="8200" max="8200" width="0.42578125" style="1" customWidth="1"/>
    <col min="8201" max="8448" width="9" style="1"/>
    <col min="8449" max="8449" width="0.42578125" style="1" customWidth="1"/>
    <col min="8450" max="8450" width="19.85546875" style="1" customWidth="1"/>
    <col min="8451" max="8451" width="28.42578125" style="1" customWidth="1"/>
    <col min="8452" max="8452" width="0.42578125" style="1" customWidth="1"/>
    <col min="8453" max="8453" width="24.5703125" style="1" customWidth="1"/>
    <col min="8454" max="8455" width="18.5703125" style="1" customWidth="1"/>
    <col min="8456" max="8456" width="0.42578125" style="1" customWidth="1"/>
    <col min="8457" max="8704" width="9" style="1"/>
    <col min="8705" max="8705" width="0.42578125" style="1" customWidth="1"/>
    <col min="8706" max="8706" width="19.85546875" style="1" customWidth="1"/>
    <col min="8707" max="8707" width="28.42578125" style="1" customWidth="1"/>
    <col min="8708" max="8708" width="0.42578125" style="1" customWidth="1"/>
    <col min="8709" max="8709" width="24.5703125" style="1" customWidth="1"/>
    <col min="8710" max="8711" width="18.5703125" style="1" customWidth="1"/>
    <col min="8712" max="8712" width="0.42578125" style="1" customWidth="1"/>
    <col min="8713" max="8960" width="9" style="1"/>
    <col min="8961" max="8961" width="0.42578125" style="1" customWidth="1"/>
    <col min="8962" max="8962" width="19.85546875" style="1" customWidth="1"/>
    <col min="8963" max="8963" width="28.42578125" style="1" customWidth="1"/>
    <col min="8964" max="8964" width="0.42578125" style="1" customWidth="1"/>
    <col min="8965" max="8965" width="24.5703125" style="1" customWidth="1"/>
    <col min="8966" max="8967" width="18.5703125" style="1" customWidth="1"/>
    <col min="8968" max="8968" width="0.42578125" style="1" customWidth="1"/>
    <col min="8969" max="9216" width="9" style="1"/>
    <col min="9217" max="9217" width="0.42578125" style="1" customWidth="1"/>
    <col min="9218" max="9218" width="19.85546875" style="1" customWidth="1"/>
    <col min="9219" max="9219" width="28.42578125" style="1" customWidth="1"/>
    <col min="9220" max="9220" width="0.42578125" style="1" customWidth="1"/>
    <col min="9221" max="9221" width="24.5703125" style="1" customWidth="1"/>
    <col min="9222" max="9223" width="18.5703125" style="1" customWidth="1"/>
    <col min="9224" max="9224" width="0.42578125" style="1" customWidth="1"/>
    <col min="9225" max="9472" width="9" style="1"/>
    <col min="9473" max="9473" width="0.42578125" style="1" customWidth="1"/>
    <col min="9474" max="9474" width="19.85546875" style="1" customWidth="1"/>
    <col min="9475" max="9475" width="28.42578125" style="1" customWidth="1"/>
    <col min="9476" max="9476" width="0.42578125" style="1" customWidth="1"/>
    <col min="9477" max="9477" width="24.5703125" style="1" customWidth="1"/>
    <col min="9478" max="9479" width="18.5703125" style="1" customWidth="1"/>
    <col min="9480" max="9480" width="0.42578125" style="1" customWidth="1"/>
    <col min="9481" max="9728" width="9" style="1"/>
    <col min="9729" max="9729" width="0.42578125" style="1" customWidth="1"/>
    <col min="9730" max="9730" width="19.85546875" style="1" customWidth="1"/>
    <col min="9731" max="9731" width="28.42578125" style="1" customWidth="1"/>
    <col min="9732" max="9732" width="0.42578125" style="1" customWidth="1"/>
    <col min="9733" max="9733" width="24.5703125" style="1" customWidth="1"/>
    <col min="9734" max="9735" width="18.5703125" style="1" customWidth="1"/>
    <col min="9736" max="9736" width="0.42578125" style="1" customWidth="1"/>
    <col min="9737" max="9984" width="9" style="1"/>
    <col min="9985" max="9985" width="0.42578125" style="1" customWidth="1"/>
    <col min="9986" max="9986" width="19.85546875" style="1" customWidth="1"/>
    <col min="9987" max="9987" width="28.42578125" style="1" customWidth="1"/>
    <col min="9988" max="9988" width="0.42578125" style="1" customWidth="1"/>
    <col min="9989" max="9989" width="24.5703125" style="1" customWidth="1"/>
    <col min="9990" max="9991" width="18.5703125" style="1" customWidth="1"/>
    <col min="9992" max="9992" width="0.42578125" style="1" customWidth="1"/>
    <col min="9993" max="10240" width="9" style="1"/>
    <col min="10241" max="10241" width="0.42578125" style="1" customWidth="1"/>
    <col min="10242" max="10242" width="19.85546875" style="1" customWidth="1"/>
    <col min="10243" max="10243" width="28.42578125" style="1" customWidth="1"/>
    <col min="10244" max="10244" width="0.42578125" style="1" customWidth="1"/>
    <col min="10245" max="10245" width="24.5703125" style="1" customWidth="1"/>
    <col min="10246" max="10247" width="18.5703125" style="1" customWidth="1"/>
    <col min="10248" max="10248" width="0.42578125" style="1" customWidth="1"/>
    <col min="10249" max="10496" width="9" style="1"/>
    <col min="10497" max="10497" width="0.42578125" style="1" customWidth="1"/>
    <col min="10498" max="10498" width="19.85546875" style="1" customWidth="1"/>
    <col min="10499" max="10499" width="28.42578125" style="1" customWidth="1"/>
    <col min="10500" max="10500" width="0.42578125" style="1" customWidth="1"/>
    <col min="10501" max="10501" width="24.5703125" style="1" customWidth="1"/>
    <col min="10502" max="10503" width="18.5703125" style="1" customWidth="1"/>
    <col min="10504" max="10504" width="0.42578125" style="1" customWidth="1"/>
    <col min="10505" max="10752" width="9" style="1"/>
    <col min="10753" max="10753" width="0.42578125" style="1" customWidth="1"/>
    <col min="10754" max="10754" width="19.85546875" style="1" customWidth="1"/>
    <col min="10755" max="10755" width="28.42578125" style="1" customWidth="1"/>
    <col min="10756" max="10756" width="0.42578125" style="1" customWidth="1"/>
    <col min="10757" max="10757" width="24.5703125" style="1" customWidth="1"/>
    <col min="10758" max="10759" width="18.5703125" style="1" customWidth="1"/>
    <col min="10760" max="10760" width="0.42578125" style="1" customWidth="1"/>
    <col min="10761" max="11008" width="9" style="1"/>
    <col min="11009" max="11009" width="0.42578125" style="1" customWidth="1"/>
    <col min="11010" max="11010" width="19.85546875" style="1" customWidth="1"/>
    <col min="11011" max="11011" width="28.42578125" style="1" customWidth="1"/>
    <col min="11012" max="11012" width="0.42578125" style="1" customWidth="1"/>
    <col min="11013" max="11013" width="24.5703125" style="1" customWidth="1"/>
    <col min="11014" max="11015" width="18.5703125" style="1" customWidth="1"/>
    <col min="11016" max="11016" width="0.42578125" style="1" customWidth="1"/>
    <col min="11017" max="11264" width="9" style="1"/>
    <col min="11265" max="11265" width="0.42578125" style="1" customWidth="1"/>
    <col min="11266" max="11266" width="19.85546875" style="1" customWidth="1"/>
    <col min="11267" max="11267" width="28.42578125" style="1" customWidth="1"/>
    <col min="11268" max="11268" width="0.42578125" style="1" customWidth="1"/>
    <col min="11269" max="11269" width="24.5703125" style="1" customWidth="1"/>
    <col min="11270" max="11271" width="18.5703125" style="1" customWidth="1"/>
    <col min="11272" max="11272" width="0.42578125" style="1" customWidth="1"/>
    <col min="11273" max="11520" width="9" style="1"/>
    <col min="11521" max="11521" width="0.42578125" style="1" customWidth="1"/>
    <col min="11522" max="11522" width="19.85546875" style="1" customWidth="1"/>
    <col min="11523" max="11523" width="28.42578125" style="1" customWidth="1"/>
    <col min="11524" max="11524" width="0.42578125" style="1" customWidth="1"/>
    <col min="11525" max="11525" width="24.5703125" style="1" customWidth="1"/>
    <col min="11526" max="11527" width="18.5703125" style="1" customWidth="1"/>
    <col min="11528" max="11528" width="0.42578125" style="1" customWidth="1"/>
    <col min="11529" max="11776" width="9" style="1"/>
    <col min="11777" max="11777" width="0.42578125" style="1" customWidth="1"/>
    <col min="11778" max="11778" width="19.85546875" style="1" customWidth="1"/>
    <col min="11779" max="11779" width="28.42578125" style="1" customWidth="1"/>
    <col min="11780" max="11780" width="0.42578125" style="1" customWidth="1"/>
    <col min="11781" max="11781" width="24.5703125" style="1" customWidth="1"/>
    <col min="11782" max="11783" width="18.5703125" style="1" customWidth="1"/>
    <col min="11784" max="11784" width="0.42578125" style="1" customWidth="1"/>
    <col min="11785" max="12032" width="9" style="1"/>
    <col min="12033" max="12033" width="0.42578125" style="1" customWidth="1"/>
    <col min="12034" max="12034" width="19.85546875" style="1" customWidth="1"/>
    <col min="12035" max="12035" width="28.42578125" style="1" customWidth="1"/>
    <col min="12036" max="12036" width="0.42578125" style="1" customWidth="1"/>
    <col min="12037" max="12037" width="24.5703125" style="1" customWidth="1"/>
    <col min="12038" max="12039" width="18.5703125" style="1" customWidth="1"/>
    <col min="12040" max="12040" width="0.42578125" style="1" customWidth="1"/>
    <col min="12041" max="12288" width="9" style="1"/>
    <col min="12289" max="12289" width="0.42578125" style="1" customWidth="1"/>
    <col min="12290" max="12290" width="19.85546875" style="1" customWidth="1"/>
    <col min="12291" max="12291" width="28.42578125" style="1" customWidth="1"/>
    <col min="12292" max="12292" width="0.42578125" style="1" customWidth="1"/>
    <col min="12293" max="12293" width="24.5703125" style="1" customWidth="1"/>
    <col min="12294" max="12295" width="18.5703125" style="1" customWidth="1"/>
    <col min="12296" max="12296" width="0.42578125" style="1" customWidth="1"/>
    <col min="12297" max="12544" width="9" style="1"/>
    <col min="12545" max="12545" width="0.42578125" style="1" customWidth="1"/>
    <col min="12546" max="12546" width="19.85546875" style="1" customWidth="1"/>
    <col min="12547" max="12547" width="28.42578125" style="1" customWidth="1"/>
    <col min="12548" max="12548" width="0.42578125" style="1" customWidth="1"/>
    <col min="12549" max="12549" width="24.5703125" style="1" customWidth="1"/>
    <col min="12550" max="12551" width="18.5703125" style="1" customWidth="1"/>
    <col min="12552" max="12552" width="0.42578125" style="1" customWidth="1"/>
    <col min="12553" max="12800" width="9" style="1"/>
    <col min="12801" max="12801" width="0.42578125" style="1" customWidth="1"/>
    <col min="12802" max="12802" width="19.85546875" style="1" customWidth="1"/>
    <col min="12803" max="12803" width="28.42578125" style="1" customWidth="1"/>
    <col min="12804" max="12804" width="0.42578125" style="1" customWidth="1"/>
    <col min="12805" max="12805" width="24.5703125" style="1" customWidth="1"/>
    <col min="12806" max="12807" width="18.5703125" style="1" customWidth="1"/>
    <col min="12808" max="12808" width="0.42578125" style="1" customWidth="1"/>
    <col min="12809" max="13056" width="9" style="1"/>
    <col min="13057" max="13057" width="0.42578125" style="1" customWidth="1"/>
    <col min="13058" max="13058" width="19.85546875" style="1" customWidth="1"/>
    <col min="13059" max="13059" width="28.42578125" style="1" customWidth="1"/>
    <col min="13060" max="13060" width="0.42578125" style="1" customWidth="1"/>
    <col min="13061" max="13061" width="24.5703125" style="1" customWidth="1"/>
    <col min="13062" max="13063" width="18.5703125" style="1" customWidth="1"/>
    <col min="13064" max="13064" width="0.42578125" style="1" customWidth="1"/>
    <col min="13065" max="13312" width="9" style="1"/>
    <col min="13313" max="13313" width="0.42578125" style="1" customWidth="1"/>
    <col min="13314" max="13314" width="19.85546875" style="1" customWidth="1"/>
    <col min="13315" max="13315" width="28.42578125" style="1" customWidth="1"/>
    <col min="13316" max="13316" width="0.42578125" style="1" customWidth="1"/>
    <col min="13317" max="13317" width="24.5703125" style="1" customWidth="1"/>
    <col min="13318" max="13319" width="18.5703125" style="1" customWidth="1"/>
    <col min="13320" max="13320" width="0.42578125" style="1" customWidth="1"/>
    <col min="13321" max="13568" width="9" style="1"/>
    <col min="13569" max="13569" width="0.42578125" style="1" customWidth="1"/>
    <col min="13570" max="13570" width="19.85546875" style="1" customWidth="1"/>
    <col min="13571" max="13571" width="28.42578125" style="1" customWidth="1"/>
    <col min="13572" max="13572" width="0.42578125" style="1" customWidth="1"/>
    <col min="13573" max="13573" width="24.5703125" style="1" customWidth="1"/>
    <col min="13574" max="13575" width="18.5703125" style="1" customWidth="1"/>
    <col min="13576" max="13576" width="0.42578125" style="1" customWidth="1"/>
    <col min="13577" max="13824" width="9" style="1"/>
    <col min="13825" max="13825" width="0.42578125" style="1" customWidth="1"/>
    <col min="13826" max="13826" width="19.85546875" style="1" customWidth="1"/>
    <col min="13827" max="13827" width="28.42578125" style="1" customWidth="1"/>
    <col min="13828" max="13828" width="0.42578125" style="1" customWidth="1"/>
    <col min="13829" max="13829" width="24.5703125" style="1" customWidth="1"/>
    <col min="13830" max="13831" width="18.5703125" style="1" customWidth="1"/>
    <col min="13832" max="13832" width="0.42578125" style="1" customWidth="1"/>
    <col min="13833" max="14080" width="9" style="1"/>
    <col min="14081" max="14081" width="0.42578125" style="1" customWidth="1"/>
    <col min="14082" max="14082" width="19.85546875" style="1" customWidth="1"/>
    <col min="14083" max="14083" width="28.42578125" style="1" customWidth="1"/>
    <col min="14084" max="14084" width="0.42578125" style="1" customWidth="1"/>
    <col min="14085" max="14085" width="24.5703125" style="1" customWidth="1"/>
    <col min="14086" max="14087" width="18.5703125" style="1" customWidth="1"/>
    <col min="14088" max="14088" width="0.42578125" style="1" customWidth="1"/>
    <col min="14089" max="14336" width="9" style="1"/>
    <col min="14337" max="14337" width="0.42578125" style="1" customWidth="1"/>
    <col min="14338" max="14338" width="19.85546875" style="1" customWidth="1"/>
    <col min="14339" max="14339" width="28.42578125" style="1" customWidth="1"/>
    <col min="14340" max="14340" width="0.42578125" style="1" customWidth="1"/>
    <col min="14341" max="14341" width="24.5703125" style="1" customWidth="1"/>
    <col min="14342" max="14343" width="18.5703125" style="1" customWidth="1"/>
    <col min="14344" max="14344" width="0.42578125" style="1" customWidth="1"/>
    <col min="14345" max="14592" width="9" style="1"/>
    <col min="14593" max="14593" width="0.42578125" style="1" customWidth="1"/>
    <col min="14594" max="14594" width="19.85546875" style="1" customWidth="1"/>
    <col min="14595" max="14595" width="28.42578125" style="1" customWidth="1"/>
    <col min="14596" max="14596" width="0.42578125" style="1" customWidth="1"/>
    <col min="14597" max="14597" width="24.5703125" style="1" customWidth="1"/>
    <col min="14598" max="14599" width="18.5703125" style="1" customWidth="1"/>
    <col min="14600" max="14600" width="0.42578125" style="1" customWidth="1"/>
    <col min="14601" max="14848" width="9" style="1"/>
    <col min="14849" max="14849" width="0.42578125" style="1" customWidth="1"/>
    <col min="14850" max="14850" width="19.85546875" style="1" customWidth="1"/>
    <col min="14851" max="14851" width="28.42578125" style="1" customWidth="1"/>
    <col min="14852" max="14852" width="0.42578125" style="1" customWidth="1"/>
    <col min="14853" max="14853" width="24.5703125" style="1" customWidth="1"/>
    <col min="14854" max="14855" width="18.5703125" style="1" customWidth="1"/>
    <col min="14856" max="14856" width="0.42578125" style="1" customWidth="1"/>
    <col min="14857" max="15104" width="9" style="1"/>
    <col min="15105" max="15105" width="0.42578125" style="1" customWidth="1"/>
    <col min="15106" max="15106" width="19.85546875" style="1" customWidth="1"/>
    <col min="15107" max="15107" width="28.42578125" style="1" customWidth="1"/>
    <col min="15108" max="15108" width="0.42578125" style="1" customWidth="1"/>
    <col min="15109" max="15109" width="24.5703125" style="1" customWidth="1"/>
    <col min="15110" max="15111" width="18.5703125" style="1" customWidth="1"/>
    <col min="15112" max="15112" width="0.42578125" style="1" customWidth="1"/>
    <col min="15113" max="15360" width="9" style="1"/>
    <col min="15361" max="15361" width="0.42578125" style="1" customWidth="1"/>
    <col min="15362" max="15362" width="19.85546875" style="1" customWidth="1"/>
    <col min="15363" max="15363" width="28.42578125" style="1" customWidth="1"/>
    <col min="15364" max="15364" width="0.42578125" style="1" customWidth="1"/>
    <col min="15365" max="15365" width="24.5703125" style="1" customWidth="1"/>
    <col min="15366" max="15367" width="18.5703125" style="1" customWidth="1"/>
    <col min="15368" max="15368" width="0.42578125" style="1" customWidth="1"/>
    <col min="15369" max="15616" width="9" style="1"/>
    <col min="15617" max="15617" width="0.42578125" style="1" customWidth="1"/>
    <col min="15618" max="15618" width="19.85546875" style="1" customWidth="1"/>
    <col min="15619" max="15619" width="28.42578125" style="1" customWidth="1"/>
    <col min="15620" max="15620" width="0.42578125" style="1" customWidth="1"/>
    <col min="15621" max="15621" width="24.5703125" style="1" customWidth="1"/>
    <col min="15622" max="15623" width="18.5703125" style="1" customWidth="1"/>
    <col min="15624" max="15624" width="0.42578125" style="1" customWidth="1"/>
    <col min="15625" max="15872" width="9" style="1"/>
    <col min="15873" max="15873" width="0.42578125" style="1" customWidth="1"/>
    <col min="15874" max="15874" width="19.85546875" style="1" customWidth="1"/>
    <col min="15875" max="15875" width="28.42578125" style="1" customWidth="1"/>
    <col min="15876" max="15876" width="0.42578125" style="1" customWidth="1"/>
    <col min="15877" max="15877" width="24.5703125" style="1" customWidth="1"/>
    <col min="15878" max="15879" width="18.5703125" style="1" customWidth="1"/>
    <col min="15880" max="15880" width="0.42578125" style="1" customWidth="1"/>
    <col min="15881" max="16128" width="9" style="1"/>
    <col min="16129" max="16129" width="0.42578125" style="1" customWidth="1"/>
    <col min="16130" max="16130" width="19.85546875" style="1" customWidth="1"/>
    <col min="16131" max="16131" width="28.42578125" style="1" customWidth="1"/>
    <col min="16132" max="16132" width="0.42578125" style="1" customWidth="1"/>
    <col min="16133" max="16133" width="24.5703125" style="1" customWidth="1"/>
    <col min="16134" max="16135" width="18.5703125" style="1" customWidth="1"/>
    <col min="16136" max="16136" width="0.42578125" style="1" customWidth="1"/>
    <col min="16137" max="16384" width="9" style="1"/>
  </cols>
  <sheetData>
    <row r="1" spans="1:8" ht="22.5" x14ac:dyDescent="0.25">
      <c r="A1" s="3"/>
      <c r="B1" s="3" t="s">
        <v>45</v>
      </c>
      <c r="C1" s="3"/>
      <c r="D1" s="3"/>
      <c r="E1" s="3"/>
      <c r="F1" s="3"/>
      <c r="H1" s="3"/>
    </row>
    <row r="2" spans="1:8" ht="19.5" thickBot="1" x14ac:dyDescent="0.3">
      <c r="A2" s="4"/>
      <c r="B2" s="4" t="s">
        <v>46</v>
      </c>
      <c r="C2" s="4"/>
      <c r="D2" s="4"/>
      <c r="E2" s="4"/>
      <c r="F2" s="4"/>
      <c r="H2" s="4"/>
    </row>
    <row r="3" spans="1:8" ht="27" thickTop="1" thickBot="1" x14ac:dyDescent="0.3">
      <c r="A3" s="4"/>
      <c r="B3" s="56" t="s">
        <v>93</v>
      </c>
      <c r="C3" s="57"/>
      <c r="D3" s="57"/>
      <c r="E3" s="57"/>
      <c r="F3" s="57"/>
      <c r="G3" s="58"/>
      <c r="H3" s="4"/>
    </row>
    <row r="4" spans="1:8" ht="15.75" thickTop="1" x14ac:dyDescent="0.25">
      <c r="A4" s="5"/>
      <c r="B4" s="6"/>
      <c r="C4" s="6"/>
      <c r="D4" s="7"/>
      <c r="E4" s="8"/>
      <c r="F4" s="8"/>
      <c r="G4" s="7"/>
      <c r="H4" s="5"/>
    </row>
    <row r="5" spans="1:8" ht="28.5" x14ac:dyDescent="0.25">
      <c r="A5" s="9"/>
      <c r="B5" s="10" t="s">
        <v>47</v>
      </c>
      <c r="C5" s="61"/>
      <c r="D5" s="11"/>
      <c r="E5" s="12" t="s">
        <v>48</v>
      </c>
      <c r="F5" s="13" t="s">
        <v>49</v>
      </c>
      <c r="G5" s="13" t="s">
        <v>50</v>
      </c>
      <c r="H5" s="5"/>
    </row>
    <row r="6" spans="1:8" x14ac:dyDescent="0.25">
      <c r="A6" s="5"/>
      <c r="B6" s="62" t="s">
        <v>92</v>
      </c>
      <c r="C6" s="63">
        <v>20658</v>
      </c>
      <c r="D6" s="5"/>
      <c r="E6" s="14" t="s">
        <v>13</v>
      </c>
      <c r="F6" s="15" t="e">
        <f>SUMIF(#REF!,'FORM (2)'!$E6,#REF!)</f>
        <v>#REF!</v>
      </c>
      <c r="G6" s="16">
        <v>0</v>
      </c>
      <c r="H6" s="5"/>
    </row>
    <row r="7" spans="1:8" x14ac:dyDescent="0.25">
      <c r="A7" s="5"/>
      <c r="B7" s="14" t="s">
        <v>51</v>
      </c>
      <c r="C7" s="17" t="s">
        <v>91</v>
      </c>
      <c r="D7" s="5"/>
      <c r="E7" s="14" t="s">
        <v>16</v>
      </c>
      <c r="F7" s="15" t="e">
        <f>SUMIF(#REF!,'FORM (2)'!$E7,#REF!)</f>
        <v>#REF!</v>
      </c>
      <c r="G7" s="16">
        <v>0</v>
      </c>
      <c r="H7" s="5"/>
    </row>
    <row r="8" spans="1:8" x14ac:dyDescent="0.2">
      <c r="A8" s="5"/>
      <c r="B8" s="14" t="s">
        <v>52</v>
      </c>
      <c r="C8" s="17" t="s">
        <v>71</v>
      </c>
      <c r="D8" s="5"/>
      <c r="E8" s="14" t="s">
        <v>19</v>
      </c>
      <c r="F8" s="18" t="s">
        <v>74</v>
      </c>
      <c r="G8" s="18">
        <v>2484</v>
      </c>
      <c r="H8" s="5"/>
    </row>
    <row r="9" spans="1:8" x14ac:dyDescent="0.25">
      <c r="A9" s="5"/>
      <c r="B9" s="14" t="s">
        <v>53</v>
      </c>
      <c r="C9" s="17" t="s">
        <v>72</v>
      </c>
      <c r="D9" s="5"/>
      <c r="E9" s="14" t="s">
        <v>22</v>
      </c>
      <c r="F9" s="15" t="e">
        <f>SUMIF(#REF!,'FORM (2)'!$E9,#REF!)</f>
        <v>#REF!</v>
      </c>
      <c r="G9" s="16"/>
      <c r="H9" s="5"/>
    </row>
    <row r="10" spans="1:8" s="19" customFormat="1" x14ac:dyDescent="0.25">
      <c r="A10" s="20"/>
      <c r="B10" s="14" t="s">
        <v>54</v>
      </c>
      <c r="C10" s="17" t="s">
        <v>73</v>
      </c>
      <c r="D10" s="20"/>
      <c r="E10" s="14" t="s">
        <v>25</v>
      </c>
      <c r="F10" s="15" t="e">
        <f>SUMIF(#REF!,'FORM (2)'!$E10,#REF!)</f>
        <v>#REF!</v>
      </c>
      <c r="G10" s="16"/>
      <c r="H10" s="20"/>
    </row>
    <row r="11" spans="1:8" x14ac:dyDescent="0.25">
      <c r="A11" s="5"/>
      <c r="B11" s="14" t="s">
        <v>55</v>
      </c>
      <c r="C11" s="17" t="s">
        <v>70</v>
      </c>
      <c r="D11" s="5"/>
      <c r="E11" s="14" t="s">
        <v>26</v>
      </c>
      <c r="F11" s="15" t="e">
        <f>SUMIF(#REF!,'FORM (2)'!$E11,#REF!)</f>
        <v>#REF!</v>
      </c>
      <c r="G11" s="16"/>
      <c r="H11" s="5"/>
    </row>
    <row r="12" spans="1:8" x14ac:dyDescent="0.25">
      <c r="A12" s="5"/>
      <c r="B12" s="14" t="s">
        <v>56</v>
      </c>
      <c r="C12" s="21" t="s">
        <v>89</v>
      </c>
      <c r="D12" s="5"/>
      <c r="E12" s="14" t="s">
        <v>27</v>
      </c>
      <c r="F12" s="15" t="e">
        <f>SUMIF(#REF!,'FORM (2)'!$E12,#REF!)</f>
        <v>#REF!</v>
      </c>
      <c r="G12" s="16"/>
      <c r="H12" s="5"/>
    </row>
    <row r="13" spans="1:8" x14ac:dyDescent="0.25">
      <c r="A13" s="5"/>
      <c r="B13" s="14" t="s">
        <v>57</v>
      </c>
      <c r="C13" s="21">
        <v>46038</v>
      </c>
      <c r="D13" s="5"/>
      <c r="E13" s="14" t="s">
        <v>28</v>
      </c>
      <c r="F13" s="15" t="e">
        <f>SUMIF(#REF!,'FORM (2)'!$E13,#REF!)</f>
        <v>#REF!</v>
      </c>
      <c r="G13" s="16"/>
      <c r="H13" s="5"/>
    </row>
    <row r="14" spans="1:8" x14ac:dyDescent="0.25">
      <c r="A14" s="5"/>
      <c r="B14" s="14" t="s">
        <v>58</v>
      </c>
      <c r="C14" s="21">
        <v>46053</v>
      </c>
      <c r="D14" s="5"/>
      <c r="E14" s="14" t="s">
        <v>29</v>
      </c>
      <c r="F14" s="15" t="e">
        <f>SUMIF(#REF!,'FORM (2)'!$E14,#REF!)</f>
        <v>#REF!</v>
      </c>
      <c r="G14" s="16"/>
      <c r="H14" s="5"/>
    </row>
    <row r="15" spans="1:8" x14ac:dyDescent="0.25">
      <c r="A15" s="5"/>
      <c r="B15" s="14"/>
      <c r="C15" s="22"/>
      <c r="D15" s="5"/>
      <c r="E15" s="12" t="s">
        <v>59</v>
      </c>
      <c r="F15" s="23" t="e">
        <f>SUM(F6:F14)</f>
        <v>#REF!</v>
      </c>
      <c r="G15" s="23">
        <f>SUM(G6:G14)</f>
        <v>2484</v>
      </c>
      <c r="H15" s="5"/>
    </row>
    <row r="16" spans="1:8" x14ac:dyDescent="0.25">
      <c r="A16" s="5"/>
      <c r="B16" s="14"/>
      <c r="C16" s="22"/>
      <c r="D16" s="5"/>
      <c r="E16" s="24"/>
      <c r="F16" s="24"/>
      <c r="G16" s="5"/>
      <c r="H16" s="5"/>
    </row>
    <row r="17" spans="1:8" x14ac:dyDescent="0.25">
      <c r="B17" s="5"/>
      <c r="C17" s="5"/>
    </row>
    <row r="18" spans="1:8" ht="18.75" customHeight="1" x14ac:dyDescent="0.25">
      <c r="A18" s="25"/>
      <c r="D18" s="55"/>
      <c r="E18" s="55"/>
      <c r="F18" s="55"/>
      <c r="G18" s="55"/>
      <c r="H18" s="55"/>
    </row>
    <row r="19" spans="1:8" ht="126" x14ac:dyDescent="0.25">
      <c r="B19" s="55" t="s">
        <v>60</v>
      </c>
      <c r="C19" s="55"/>
    </row>
    <row r="20" spans="1:8" x14ac:dyDescent="0.25">
      <c r="A20" s="27"/>
      <c r="B20" s="26"/>
      <c r="D20" s="27"/>
      <c r="E20" s="27"/>
      <c r="F20" s="27"/>
      <c r="H20" s="27"/>
    </row>
    <row r="21" spans="1:8" x14ac:dyDescent="0.25">
      <c r="B21" s="1" t="s">
        <v>61</v>
      </c>
      <c r="C21" s="27"/>
    </row>
    <row r="22" spans="1:8" x14ac:dyDescent="0.25">
      <c r="B22" s="26"/>
    </row>
    <row r="23" spans="1:8" x14ac:dyDescent="0.25">
      <c r="B23" s="26"/>
      <c r="E23" s="28" t="s">
        <v>90</v>
      </c>
    </row>
    <row r="24" spans="1:8" x14ac:dyDescent="0.25">
      <c r="F24" s="29" t="s">
        <v>62</v>
      </c>
    </row>
    <row r="26" spans="1:8" x14ac:dyDescent="0.25">
      <c r="B26" s="30" t="s">
        <v>63</v>
      </c>
    </row>
    <row r="27" spans="1:8" x14ac:dyDescent="0.25">
      <c r="B27" s="1" t="s">
        <v>69</v>
      </c>
    </row>
    <row r="28" spans="1:8" x14ac:dyDescent="0.25">
      <c r="B28" s="1" t="s">
        <v>64</v>
      </c>
    </row>
    <row r="29" spans="1:8" x14ac:dyDescent="0.25">
      <c r="B29" s="1" t="s">
        <v>65</v>
      </c>
    </row>
    <row r="30" spans="1:8" x14ac:dyDescent="0.25">
      <c r="B30" s="1" t="s">
        <v>66</v>
      </c>
    </row>
    <row r="31" spans="1:8" x14ac:dyDescent="0.25">
      <c r="B31" s="1" t="s">
        <v>67</v>
      </c>
    </row>
  </sheetData>
  <mergeCells count="1"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3D1D-E11F-4469-A6F9-714A915D15DD}">
  <dimension ref="A1:P19"/>
  <sheetViews>
    <sheetView tabSelected="1" topLeftCell="B1" zoomScale="118" zoomScaleNormal="118" workbookViewId="0">
      <selection activeCell="S17" sqref="S17"/>
    </sheetView>
  </sheetViews>
  <sheetFormatPr defaultColWidth="9.140625" defaultRowHeight="12.75" x14ac:dyDescent="0.2"/>
  <cols>
    <col min="1" max="1" width="7.28515625" style="34" customWidth="1"/>
    <col min="2" max="2" width="15.28515625" style="34" bestFit="1" customWidth="1"/>
    <col min="3" max="3" width="17.85546875" style="35" customWidth="1"/>
    <col min="4" max="4" width="13.42578125" style="35" customWidth="1"/>
    <col min="5" max="5" width="16.28515625" style="35" bestFit="1" customWidth="1"/>
    <col min="6" max="6" width="26" style="35" customWidth="1"/>
    <col min="7" max="7" width="11.5703125" style="34" bestFit="1" customWidth="1"/>
    <col min="8" max="8" width="15.42578125" style="34" bestFit="1" customWidth="1"/>
    <col min="9" max="9" width="12" style="34" bestFit="1" customWidth="1"/>
    <col min="10" max="10" width="14.42578125" style="35" customWidth="1"/>
    <col min="11" max="11" width="24.85546875" style="34" bestFit="1" customWidth="1"/>
    <col min="12" max="12" width="6.5703125" style="36" bestFit="1" customWidth="1"/>
    <col min="13" max="13" width="11.28515625" style="35" bestFit="1" customWidth="1"/>
    <col min="14" max="14" width="9.140625" style="34" bestFit="1" customWidth="1"/>
    <col min="15" max="15" width="25.7109375" style="34" customWidth="1"/>
    <col min="16" max="16" width="18.42578125" style="34" customWidth="1"/>
    <col min="17" max="16384" width="9.140625" style="34"/>
  </cols>
  <sheetData>
    <row r="1" spans="1:15" s="37" customFormat="1" ht="27.75" customHeight="1" x14ac:dyDescent="0.25">
      <c r="C1" s="59" t="s">
        <v>30</v>
      </c>
      <c r="D1" s="60"/>
      <c r="E1" s="59" t="s">
        <v>31</v>
      </c>
      <c r="F1" s="60"/>
      <c r="J1" s="38"/>
      <c r="L1" s="39"/>
      <c r="M1" s="38"/>
    </row>
    <row r="2" spans="1:15" s="40" customFormat="1" ht="38.25" x14ac:dyDescent="0.25">
      <c r="A2" s="41" t="s">
        <v>32</v>
      </c>
      <c r="B2" s="41" t="s">
        <v>0</v>
      </c>
      <c r="C2" s="41" t="s">
        <v>33</v>
      </c>
      <c r="D2" s="41" t="s">
        <v>34</v>
      </c>
      <c r="E2" s="41" t="s">
        <v>35</v>
      </c>
      <c r="F2" s="41" t="s">
        <v>36</v>
      </c>
      <c r="G2" s="41" t="s">
        <v>1</v>
      </c>
      <c r="H2" s="41" t="s">
        <v>2</v>
      </c>
      <c r="I2" s="42" t="s">
        <v>37</v>
      </c>
      <c r="J2" s="41" t="s">
        <v>38</v>
      </c>
      <c r="K2" s="41" t="s">
        <v>39</v>
      </c>
      <c r="L2" s="41" t="s">
        <v>40</v>
      </c>
      <c r="M2" s="41" t="s">
        <v>4</v>
      </c>
      <c r="N2" s="41" t="s">
        <v>41</v>
      </c>
      <c r="O2" s="41" t="s">
        <v>42</v>
      </c>
    </row>
    <row r="3" spans="1:15" s="43" customFormat="1" x14ac:dyDescent="0.2">
      <c r="A3" s="44">
        <v>1</v>
      </c>
      <c r="B3" s="44" t="s">
        <v>19</v>
      </c>
      <c r="C3" s="45">
        <v>46038</v>
      </c>
      <c r="D3" s="45">
        <v>46038</v>
      </c>
      <c r="E3" s="44" t="s">
        <v>72</v>
      </c>
      <c r="F3" s="44" t="s">
        <v>75</v>
      </c>
      <c r="G3" s="44"/>
      <c r="H3" s="44" t="s">
        <v>24</v>
      </c>
      <c r="I3" s="46">
        <f t="shared" ref="I3:I17" si="0">IF(H3="Own Bike",6,IF(H3="Own Car",10,0))</f>
        <v>6</v>
      </c>
      <c r="J3" s="47">
        <v>34</v>
      </c>
      <c r="K3" s="44"/>
      <c r="L3" s="44"/>
      <c r="M3" s="44" t="s">
        <v>12</v>
      </c>
      <c r="N3" s="47">
        <f t="shared" ref="N3:N17" si="1">I3*J3</f>
        <v>204</v>
      </c>
      <c r="O3" s="44"/>
    </row>
    <row r="4" spans="1:15" s="43" customFormat="1" x14ac:dyDescent="0.2">
      <c r="A4" s="44">
        <v>2</v>
      </c>
      <c r="B4" s="44" t="s">
        <v>19</v>
      </c>
      <c r="C4" s="45">
        <v>46039</v>
      </c>
      <c r="D4" s="45">
        <v>46039</v>
      </c>
      <c r="E4" s="44" t="s">
        <v>72</v>
      </c>
      <c r="F4" s="44" t="s">
        <v>76</v>
      </c>
      <c r="G4" s="44"/>
      <c r="H4" s="44" t="s">
        <v>24</v>
      </c>
      <c r="I4" s="46">
        <f t="shared" si="0"/>
        <v>6</v>
      </c>
      <c r="J4" s="47">
        <v>30</v>
      </c>
      <c r="K4" s="44"/>
      <c r="L4" s="44"/>
      <c r="M4" s="44" t="s">
        <v>12</v>
      </c>
      <c r="N4" s="47">
        <f t="shared" si="1"/>
        <v>180</v>
      </c>
      <c r="O4" s="44"/>
    </row>
    <row r="5" spans="1:15" s="43" customFormat="1" x14ac:dyDescent="0.2">
      <c r="A5" s="44">
        <v>3</v>
      </c>
      <c r="B5" s="44" t="s">
        <v>19</v>
      </c>
      <c r="C5" s="45">
        <v>46040</v>
      </c>
      <c r="D5" s="45">
        <v>46040</v>
      </c>
      <c r="E5" s="44" t="s">
        <v>72</v>
      </c>
      <c r="F5" s="44" t="s">
        <v>77</v>
      </c>
      <c r="G5" s="44"/>
      <c r="H5" s="44" t="s">
        <v>24</v>
      </c>
      <c r="I5" s="46">
        <f t="shared" si="0"/>
        <v>6</v>
      </c>
      <c r="J5" s="47">
        <v>25</v>
      </c>
      <c r="K5" s="44"/>
      <c r="L5" s="44"/>
      <c r="M5" s="44" t="s">
        <v>12</v>
      </c>
      <c r="N5" s="47">
        <f t="shared" si="1"/>
        <v>150</v>
      </c>
      <c r="O5" s="44"/>
    </row>
    <row r="6" spans="1:15" s="43" customFormat="1" x14ac:dyDescent="0.2">
      <c r="A6" s="44">
        <v>4</v>
      </c>
      <c r="B6" s="44" t="s">
        <v>19</v>
      </c>
      <c r="C6" s="45">
        <v>46041</v>
      </c>
      <c r="D6" s="45">
        <v>46041</v>
      </c>
      <c r="E6" s="44" t="s">
        <v>72</v>
      </c>
      <c r="F6" s="44" t="s">
        <v>78</v>
      </c>
      <c r="G6" s="44"/>
      <c r="H6" s="44" t="s">
        <v>24</v>
      </c>
      <c r="I6" s="46">
        <f t="shared" si="0"/>
        <v>6</v>
      </c>
      <c r="J6" s="47">
        <v>25</v>
      </c>
      <c r="K6" s="44"/>
      <c r="L6" s="44"/>
      <c r="M6" s="44" t="s">
        <v>12</v>
      </c>
      <c r="N6" s="47">
        <f t="shared" si="1"/>
        <v>150</v>
      </c>
      <c r="O6" s="44"/>
    </row>
    <row r="7" spans="1:15" s="43" customFormat="1" x14ac:dyDescent="0.2">
      <c r="A7" s="44">
        <v>5</v>
      </c>
      <c r="B7" s="44" t="s">
        <v>19</v>
      </c>
      <c r="C7" s="45">
        <v>46042</v>
      </c>
      <c r="D7" s="45">
        <v>46042</v>
      </c>
      <c r="E7" s="44" t="s">
        <v>72</v>
      </c>
      <c r="F7" s="44" t="s">
        <v>79</v>
      </c>
      <c r="G7" s="44"/>
      <c r="H7" s="44" t="s">
        <v>24</v>
      </c>
      <c r="I7" s="46">
        <f t="shared" si="0"/>
        <v>6</v>
      </c>
      <c r="J7" s="47">
        <v>30</v>
      </c>
      <c r="K7" s="44"/>
      <c r="L7" s="44"/>
      <c r="M7" s="44" t="s">
        <v>12</v>
      </c>
      <c r="N7" s="47">
        <f t="shared" si="1"/>
        <v>180</v>
      </c>
      <c r="O7" s="44"/>
    </row>
    <row r="8" spans="1:15" s="43" customFormat="1" x14ac:dyDescent="0.2">
      <c r="A8" s="44">
        <v>6</v>
      </c>
      <c r="B8" s="44" t="s">
        <v>19</v>
      </c>
      <c r="C8" s="45">
        <v>46043</v>
      </c>
      <c r="D8" s="45">
        <v>46043</v>
      </c>
      <c r="E8" s="44" t="s">
        <v>72</v>
      </c>
      <c r="F8" s="44" t="s">
        <v>80</v>
      </c>
      <c r="G8" s="44"/>
      <c r="H8" s="44" t="s">
        <v>24</v>
      </c>
      <c r="I8" s="46">
        <f t="shared" si="0"/>
        <v>6</v>
      </c>
      <c r="J8" s="47">
        <v>25</v>
      </c>
      <c r="K8" s="44"/>
      <c r="L8" s="44"/>
      <c r="M8" s="44" t="s">
        <v>12</v>
      </c>
      <c r="N8" s="47">
        <f t="shared" si="1"/>
        <v>150</v>
      </c>
      <c r="O8" s="44"/>
    </row>
    <row r="9" spans="1:15" s="43" customFormat="1" x14ac:dyDescent="0.2">
      <c r="A9" s="44">
        <v>7</v>
      </c>
      <c r="B9" s="44" t="s">
        <v>19</v>
      </c>
      <c r="C9" s="45">
        <v>46044</v>
      </c>
      <c r="D9" s="45">
        <v>46044</v>
      </c>
      <c r="E9" s="44" t="s">
        <v>72</v>
      </c>
      <c r="F9" s="44" t="s">
        <v>81</v>
      </c>
      <c r="G9" s="44"/>
      <c r="H9" s="44" t="s">
        <v>24</v>
      </c>
      <c r="I9" s="46">
        <f t="shared" si="0"/>
        <v>6</v>
      </c>
      <c r="J9" s="47">
        <v>25</v>
      </c>
      <c r="K9" s="44"/>
      <c r="L9" s="44"/>
      <c r="M9" s="44" t="s">
        <v>12</v>
      </c>
      <c r="N9" s="47">
        <f t="shared" si="1"/>
        <v>150</v>
      </c>
      <c r="O9" s="44"/>
    </row>
    <row r="10" spans="1:15" s="43" customFormat="1" x14ac:dyDescent="0.2">
      <c r="A10" s="44">
        <v>8</v>
      </c>
      <c r="B10" s="44" t="s">
        <v>19</v>
      </c>
      <c r="C10" s="45">
        <v>46045</v>
      </c>
      <c r="D10" s="45">
        <v>46045</v>
      </c>
      <c r="E10" s="44" t="s">
        <v>72</v>
      </c>
      <c r="F10" s="44" t="s">
        <v>82</v>
      </c>
      <c r="G10" s="44"/>
      <c r="H10" s="44" t="s">
        <v>24</v>
      </c>
      <c r="I10" s="46">
        <f t="shared" si="0"/>
        <v>6</v>
      </c>
      <c r="J10" s="47">
        <v>30</v>
      </c>
      <c r="K10" s="44"/>
      <c r="L10" s="44"/>
      <c r="M10" s="44" t="s">
        <v>12</v>
      </c>
      <c r="N10" s="47">
        <f t="shared" si="1"/>
        <v>180</v>
      </c>
      <c r="O10" s="44"/>
    </row>
    <row r="11" spans="1:15" x14ac:dyDescent="0.2">
      <c r="A11" s="44">
        <v>9</v>
      </c>
      <c r="B11" s="44" t="s">
        <v>19</v>
      </c>
      <c r="C11" s="45">
        <v>46046</v>
      </c>
      <c r="D11" s="45">
        <v>46046</v>
      </c>
      <c r="E11" s="44" t="s">
        <v>72</v>
      </c>
      <c r="F11" s="44" t="s">
        <v>83</v>
      </c>
      <c r="G11" s="44"/>
      <c r="H11" s="44" t="s">
        <v>24</v>
      </c>
      <c r="I11" s="46">
        <f t="shared" si="0"/>
        <v>6</v>
      </c>
      <c r="J11" s="47">
        <v>25</v>
      </c>
      <c r="K11" s="49"/>
      <c r="L11" s="44"/>
      <c r="M11" s="48" t="s">
        <v>12</v>
      </c>
      <c r="N11" s="47">
        <f t="shared" si="1"/>
        <v>150</v>
      </c>
      <c r="O11" s="48"/>
    </row>
    <row r="12" spans="1:15" x14ac:dyDescent="0.2">
      <c r="A12" s="44">
        <v>10</v>
      </c>
      <c r="B12" s="44" t="s">
        <v>19</v>
      </c>
      <c r="C12" s="45">
        <v>46047</v>
      </c>
      <c r="D12" s="45">
        <v>46047</v>
      </c>
      <c r="E12" s="44" t="s">
        <v>72</v>
      </c>
      <c r="F12" s="44" t="s">
        <v>83</v>
      </c>
      <c r="G12" s="44"/>
      <c r="H12" s="44" t="s">
        <v>24</v>
      </c>
      <c r="I12" s="46">
        <f t="shared" si="0"/>
        <v>6</v>
      </c>
      <c r="J12" s="47">
        <v>31</v>
      </c>
      <c r="K12" s="49"/>
      <c r="L12" s="44"/>
      <c r="M12" s="48" t="s">
        <v>12</v>
      </c>
      <c r="N12" s="47">
        <f t="shared" si="1"/>
        <v>186</v>
      </c>
      <c r="O12" s="48"/>
    </row>
    <row r="13" spans="1:15" x14ac:dyDescent="0.2">
      <c r="A13" s="44">
        <v>11</v>
      </c>
      <c r="B13" s="44" t="s">
        <v>19</v>
      </c>
      <c r="C13" s="45">
        <v>46048</v>
      </c>
      <c r="D13" s="45">
        <v>46048</v>
      </c>
      <c r="E13" s="44" t="s">
        <v>72</v>
      </c>
      <c r="F13" s="44" t="s">
        <v>84</v>
      </c>
      <c r="G13" s="44"/>
      <c r="H13" s="44" t="s">
        <v>24</v>
      </c>
      <c r="I13" s="46">
        <f t="shared" si="0"/>
        <v>6</v>
      </c>
      <c r="J13" s="47">
        <v>27</v>
      </c>
      <c r="K13" s="49"/>
      <c r="L13" s="44"/>
      <c r="M13" s="48" t="s">
        <v>12</v>
      </c>
      <c r="N13" s="47">
        <f t="shared" si="1"/>
        <v>162</v>
      </c>
      <c r="O13" s="48"/>
    </row>
    <row r="14" spans="1:15" x14ac:dyDescent="0.2">
      <c r="A14" s="44">
        <v>12</v>
      </c>
      <c r="B14" s="44" t="s">
        <v>19</v>
      </c>
      <c r="C14" s="45">
        <v>46049</v>
      </c>
      <c r="D14" s="45">
        <v>46049</v>
      </c>
      <c r="E14" s="44" t="s">
        <v>72</v>
      </c>
      <c r="F14" s="44" t="s">
        <v>85</v>
      </c>
      <c r="G14" s="44"/>
      <c r="H14" s="44" t="s">
        <v>24</v>
      </c>
      <c r="I14" s="46">
        <f t="shared" si="0"/>
        <v>6</v>
      </c>
      <c r="J14" s="47">
        <v>29</v>
      </c>
      <c r="K14" s="49"/>
      <c r="L14" s="44"/>
      <c r="M14" s="48" t="s">
        <v>12</v>
      </c>
      <c r="N14" s="47">
        <f t="shared" si="1"/>
        <v>174</v>
      </c>
      <c r="O14" s="48"/>
    </row>
    <row r="15" spans="1:15" x14ac:dyDescent="0.2">
      <c r="A15" s="44">
        <v>13</v>
      </c>
      <c r="B15" s="44" t="s">
        <v>19</v>
      </c>
      <c r="C15" s="45">
        <v>46050</v>
      </c>
      <c r="D15" s="45">
        <v>46050</v>
      </c>
      <c r="E15" s="44" t="s">
        <v>72</v>
      </c>
      <c r="F15" s="44" t="s">
        <v>86</v>
      </c>
      <c r="G15" s="44"/>
      <c r="H15" s="44" t="s">
        <v>24</v>
      </c>
      <c r="I15" s="46">
        <f t="shared" si="0"/>
        <v>6</v>
      </c>
      <c r="J15" s="47">
        <v>26</v>
      </c>
      <c r="K15" s="49"/>
      <c r="L15" s="44"/>
      <c r="M15" s="48" t="s">
        <v>12</v>
      </c>
      <c r="N15" s="47">
        <f t="shared" si="1"/>
        <v>156</v>
      </c>
      <c r="O15" s="48"/>
    </row>
    <row r="16" spans="1:15" x14ac:dyDescent="0.2">
      <c r="A16" s="44">
        <v>14</v>
      </c>
      <c r="B16" s="44" t="s">
        <v>19</v>
      </c>
      <c r="C16" s="45">
        <v>46051</v>
      </c>
      <c r="D16" s="45">
        <v>46051</v>
      </c>
      <c r="E16" s="44" t="s">
        <v>72</v>
      </c>
      <c r="F16" s="44" t="s">
        <v>87</v>
      </c>
      <c r="G16" s="44"/>
      <c r="H16" s="44" t="s">
        <v>24</v>
      </c>
      <c r="I16" s="46">
        <f t="shared" si="0"/>
        <v>6</v>
      </c>
      <c r="J16" s="47">
        <v>15</v>
      </c>
      <c r="K16" s="49"/>
      <c r="L16" s="44"/>
      <c r="M16" s="48" t="s">
        <v>12</v>
      </c>
      <c r="N16" s="47">
        <f t="shared" si="1"/>
        <v>90</v>
      </c>
      <c r="O16" s="48"/>
    </row>
    <row r="17" spans="1:16" x14ac:dyDescent="0.2">
      <c r="A17" s="44">
        <v>15</v>
      </c>
      <c r="B17" s="44" t="s">
        <v>19</v>
      </c>
      <c r="C17" s="45">
        <v>46052</v>
      </c>
      <c r="D17" s="45">
        <v>46052</v>
      </c>
      <c r="E17" s="44" t="s">
        <v>72</v>
      </c>
      <c r="F17" s="44" t="s">
        <v>88</v>
      </c>
      <c r="G17" s="44"/>
      <c r="H17" s="44" t="s">
        <v>24</v>
      </c>
      <c r="I17" s="46">
        <f t="shared" si="0"/>
        <v>6</v>
      </c>
      <c r="J17" s="47">
        <v>22</v>
      </c>
      <c r="K17" s="49"/>
      <c r="L17" s="44"/>
      <c r="M17" s="48" t="s">
        <v>12</v>
      </c>
      <c r="N17" s="47">
        <f t="shared" si="1"/>
        <v>132</v>
      </c>
      <c r="P17" s="48"/>
    </row>
    <row r="18" spans="1:16" x14ac:dyDescent="0.2">
      <c r="A18" s="44">
        <v>15</v>
      </c>
      <c r="B18" s="44" t="s">
        <v>19</v>
      </c>
      <c r="C18" s="45">
        <v>46053</v>
      </c>
      <c r="D18" s="45">
        <v>46053</v>
      </c>
      <c r="E18" s="44" t="s">
        <v>72</v>
      </c>
      <c r="F18" s="44" t="s">
        <v>88</v>
      </c>
      <c r="G18" s="44"/>
      <c r="H18" s="44" t="s">
        <v>24</v>
      </c>
      <c r="I18" s="46">
        <f t="shared" ref="I18" si="2">IF(H18="Own Bike",6,IF(H18="Own Car",10,0))</f>
        <v>6</v>
      </c>
      <c r="J18" s="47">
        <v>15</v>
      </c>
      <c r="K18" s="49"/>
      <c r="L18" s="44"/>
      <c r="M18" s="48" t="s">
        <v>12</v>
      </c>
      <c r="N18" s="47">
        <f t="shared" ref="N18" si="3">I18*J18</f>
        <v>90</v>
      </c>
      <c r="P18" s="48"/>
    </row>
    <row r="19" spans="1:16" x14ac:dyDescent="0.2">
      <c r="A19" s="50" t="s">
        <v>43</v>
      </c>
      <c r="B19" s="51"/>
      <c r="C19" s="51"/>
      <c r="D19" s="51"/>
      <c r="E19" s="51"/>
      <c r="F19" s="51"/>
      <c r="G19" s="52"/>
      <c r="H19" s="52"/>
      <c r="I19" s="52"/>
      <c r="J19" s="51"/>
      <c r="K19" s="52"/>
      <c r="L19" s="53"/>
      <c r="M19" s="51"/>
      <c r="N19" s="52" t="s">
        <v>94</v>
      </c>
      <c r="O19" s="54"/>
      <c r="P19" s="34" t="s">
        <v>95</v>
      </c>
    </row>
  </sheetData>
  <mergeCells count="2">
    <mergeCell ref="C1:D1"/>
    <mergeCell ref="E1:F1"/>
  </mergeCells>
  <dataValidations count="1">
    <dataValidation type="date" allowBlank="1" showInputMessage="1" sqref="C3:D18" xr:uid="{5914D886-2C5F-42B7-951E-541CE799CA5C}">
      <formula1>45748</formula1>
      <formula2>45777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55333F-86F1-4A64-B9B7-86B890A78655}">
          <x14:formula1>
            <xm:f>validation!$C$2:$C$8</xm:f>
          </x14:formula1>
          <xm:sqref>H3:H18</xm:sqref>
        </x14:dataValidation>
        <x14:dataValidation type="list" allowBlank="1" showInputMessage="1" showErrorMessage="1" xr:uid="{7A013EC6-216F-417F-BD1F-F66BD7C895D6}">
          <x14:formula1>
            <xm:f>validation!$B$2:$B$7</xm:f>
          </x14:formula1>
          <xm:sqref>G3:G18</xm:sqref>
        </x14:dataValidation>
        <x14:dataValidation type="list" allowBlank="1" showInputMessage="1" showErrorMessage="1" xr:uid="{10C51123-E9EF-4387-AA4D-71AE47D1180A}">
          <x14:formula1>
            <xm:f>validation!$A$2:$A$12</xm:f>
          </x14:formula1>
          <xm:sqref>B3:B18</xm:sqref>
        </x14:dataValidation>
        <x14:dataValidation type="list" allowBlank="1" showInputMessage="1" showErrorMessage="1" xr:uid="{3FA715AB-3D15-4520-9883-0B8C35464677}">
          <x14:formula1>
            <xm:f>validation!$E$2:$E$3</xm:f>
          </x14:formula1>
          <xm:sqref>M3:M18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5E1A6237A6248A958FD32217D9BB3" ma:contentTypeVersion="12" ma:contentTypeDescription="Create a new document." ma:contentTypeScope="" ma:versionID="efcc2a76d7a86e03a41b872bc5c3ebea">
  <xsd:schema xmlns:xsd="http://www.w3.org/2001/XMLSchema" xmlns:xs="http://www.w3.org/2001/XMLSchema" xmlns:p="http://schemas.microsoft.com/office/2006/metadata/properties" xmlns:ns3="009b8b4b-d23e-4474-8d89-c820a61747ea" xmlns:ns4="fb332315-ec0f-4074-b3c7-ea13ec7fd7b5" targetNamespace="http://schemas.microsoft.com/office/2006/metadata/properties" ma:root="true" ma:fieldsID="c599452596d4b95a3a69202d6b8ba3a3" ns3:_="" ns4:_="">
    <xsd:import namespace="009b8b4b-d23e-4474-8d89-c820a61747ea"/>
    <xsd:import namespace="fb332315-ec0f-4074-b3c7-ea13ec7fd7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b8b4b-d23e-4474-8d89-c820a61747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32315-ec0f-4074-b3c7-ea13ec7fd7b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9b8b4b-d23e-4474-8d89-c820a61747ea" xsi:nil="true"/>
  </documentManagement>
</p:properties>
</file>

<file path=customXml/itemProps1.xml><?xml version="1.0" encoding="utf-8"?>
<ds:datastoreItem xmlns:ds="http://schemas.openxmlformats.org/officeDocument/2006/customXml" ds:itemID="{2A69AC76-AA52-40D1-ADB3-72C0FE8AAB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5C25CF-D593-4002-8C88-EF0563EE6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b8b4b-d23e-4474-8d89-c820a61747ea"/>
    <ds:schemaRef ds:uri="fb332315-ec0f-4074-b3c7-ea13ec7fd7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1F05F6-9536-4753-9A8F-95AFAEF59AF2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fb332315-ec0f-4074-b3c7-ea13ec7fd7b5"/>
    <ds:schemaRef ds:uri="009b8b4b-d23e-4474-8d89-c820a61747ea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</vt:lpstr>
      <vt:lpstr>FORM (2)</vt:lpstr>
      <vt:lpstr>Expense Detail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Dhingra</dc:creator>
  <cp:lastModifiedBy>Srivastava, Himanshu</cp:lastModifiedBy>
  <dcterms:created xsi:type="dcterms:W3CDTF">2023-04-30T00:06:09Z</dcterms:created>
  <dcterms:modified xsi:type="dcterms:W3CDTF">2026-03-19T19:04:19Z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0x0101007065E1A6237A6248A958FD32217D9BB3</vt:lpwstr>
  </property>
  <property fmtid="{D5CDD505-2E9C-101B-9397-08002B2CF9AE}" pid="3" name="ICV">
    <vt:lpwstr>2053e0c5786541b49c953d28865708e8</vt:lpwstr>
  </property>
</Properties>
</file>